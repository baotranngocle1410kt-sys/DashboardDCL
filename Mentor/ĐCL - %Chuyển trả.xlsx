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FD_SME_COD" sheetId="1" r:id="rId5"/>
    <sheet state="visible" name="%FD_TTS" sheetId="2" r:id="rId6"/>
    <sheet state="visible" name="%GTB_TT" sheetId="3" r:id="rId7"/>
    <sheet state="hidden" name="CoCauVung" sheetId="4" r:id="rId8"/>
    <sheet state="hidden" name="%FDGTB_TT" sheetId="5" r:id="rId9"/>
  </sheets>
  <definedNames/>
  <calcPr/>
</workbook>
</file>

<file path=xl/sharedStrings.xml><?xml version="1.0" encoding="utf-8"?>
<sst xmlns="http://schemas.openxmlformats.org/spreadsheetml/2006/main" count="486" uniqueCount="167">
  <si>
    <t>AM</t>
  </si>
  <si>
    <t>Bưu cục</t>
  </si>
  <si>
    <t>2026/18</t>
  </si>
  <si>
    <t>2026/19</t>
  </si>
  <si>
    <t>2026/20</t>
  </si>
  <si>
    <t>2026/21</t>
  </si>
  <si>
    <t>2026/22</t>
  </si>
  <si>
    <t>WTD/WTD-1</t>
  </si>
  <si>
    <t>D/D-1</t>
  </si>
  <si>
    <t>D/D-7</t>
  </si>
  <si>
    <t>BC 07 Lê Lợi-Mang Thít-Vĩnh Long</t>
  </si>
  <si>
    <t>BC 12-14 Bà Triệu-Cao Lãnh-Đồng Tháp</t>
  </si>
  <si>
    <t>BC 19 Đường DT848-Sa Đéc-Đồng Tháp</t>
  </si>
  <si>
    <t>BC 206 A Đoàn Thị Nghiệp-Mỹ Tho-Tiền Giang 01</t>
  </si>
  <si>
    <t>BC 230 Ấp Bình Hạnh-Long Bình Điền-Chợ Gạo-Tiền Giang</t>
  </si>
  <si>
    <t>BC 286 Nguyễn Huệ-Tân Hồng-Đồng Tháp</t>
  </si>
  <si>
    <t>BC 3/2 Thị Trấn Châu Thành-Bến Tre</t>
  </si>
  <si>
    <t>BC 355 Võ Tấn Đức-Tam Bình-Vĩnh Long</t>
  </si>
  <si>
    <t>BC 57/4 Phan Văn Đáng-Vĩnh Long-Vĩnh Long</t>
  </si>
  <si>
    <t>BC 73 Phó Cơ Điều-Phường Phước Hậu-Vĩnh Long</t>
  </si>
  <si>
    <t>BC 79 Đường Tỉnh 871-Xã Gia Thuận-Tiền Giang</t>
  </si>
  <si>
    <t>BC 86 Tiên Thuỷ-Châu Thành-Bến Tre</t>
  </si>
  <si>
    <t>BC 87 Lê Văn Vị-Cái Vồn-Bình Minh-Vĩnh Long</t>
  </si>
  <si>
    <t>BC 88 Ấp Thân Hòa-Thân Cửu Nghĩa-Châu Thành-Tiền Giang</t>
  </si>
  <si>
    <t>BC 888 QL1A-Phường 2-Cai Lậy-Tiền Giang</t>
  </si>
  <si>
    <t>BC 89 Nguyễn Thị Định-TP.Bến Tre</t>
  </si>
  <si>
    <t>BC 992 Đường Huyện 35-Vĩnh Kim-Châu Thành-Tiền Giang</t>
  </si>
  <si>
    <t>BC Ấp 2-Phú Nhuận-Bến Tre</t>
  </si>
  <si>
    <t>BC Ấp 5A Thị Trấn Giồng Trôm-Giồng Trôm-Bến Tre</t>
  </si>
  <si>
    <t>BC Ấp Bình Hiệp A-Xã Lấp Vò-Đồng Tháp</t>
  </si>
  <si>
    <t>BC Ấp Cây Hẹ-Phú Cần-Tiểu Cần-Trà Vinh</t>
  </si>
  <si>
    <t>BC Ấp Hậu Mỹ Phú 1-Cái Bè-Tiền Giang</t>
  </si>
  <si>
    <t>BC Ấp Phú Long-Xã Hưng Khánh Trung-Bến Tre</t>
  </si>
  <si>
    <t>BC Ấp Tân Thuận-Bình Tân-Vĩnh Long</t>
  </si>
  <si>
    <t>BC DT846 Phương Trà-Xã Ba Sao-Đồng Tháp</t>
  </si>
  <si>
    <t>BC Đường Tỉnh 861-Xã Mỹ Lợi-Tiền Giang</t>
  </si>
  <si>
    <t>BC Duyên Hải-Trà Vinh</t>
  </si>
  <si>
    <t>BC Hồng Ngự-Đồng Tháp</t>
  </si>
  <si>
    <t>BC Khóm 3 Trần Hưng Đạo-Xã Tháp Mười-Đồng Tháp</t>
  </si>
  <si>
    <t>BC Khóm 3 TT Càng Long-Xã Càng Long-Trà Vinh</t>
  </si>
  <si>
    <t>BC Khóm 4 TT Châu Thành-Xã Châu Thành-Trà Vinh</t>
  </si>
  <si>
    <t>BC Khóm 8-Cầu Kè-Trà Vinh</t>
  </si>
  <si>
    <t>BC Khóm Thống Nhất-Xã Cầu Ngang-Trà Vinh</t>
  </si>
  <si>
    <t>BC Khu phố 1-Tân Phước-Tiền Giang</t>
  </si>
  <si>
    <t>BC KP2-Thị Trấn Ba Tri-Bến Tre</t>
  </si>
  <si>
    <t>BC KP3 Phường 3-Gò Công-Tiền Giang</t>
  </si>
  <si>
    <t>BC Long Trung-Cai Lậy-Tiền Giang</t>
  </si>
  <si>
    <t>BC Mỏ Cày Nam-Bến Tre</t>
  </si>
  <si>
    <t>BC Mỹ Thọ-Trần Quang Khải-Cao Lãnh-Đồng Tháp</t>
  </si>
  <si>
    <t>BC Phước Hậu-Phước Mỹ Trung-Bến Tre</t>
  </si>
  <si>
    <t>BC Phước Long-Lộc Hòa-Long Hồ-Vĩnh Long</t>
  </si>
  <si>
    <t>BC QL 30-Thanh Bình-Đồng Tháp</t>
  </si>
  <si>
    <t>BC QL1A Hòa Khánh-Cái Bè-Tiền Giang</t>
  </si>
  <si>
    <t>BC QL50 Phường 9-Mỹ Tho-Tiền Giang</t>
  </si>
  <si>
    <t>BC QL57 KP3-Thị Trấn Chợ Lách-Bến Tre</t>
  </si>
  <si>
    <t>BC QL57-Bình Thạnh-Thạnh Phú-Bến Tre</t>
  </si>
  <si>
    <t>BC QL57-Bình Thới-Bình Đại-Bến Tre</t>
  </si>
  <si>
    <t>BC QL80-Xã Hòa Long-Đồng Tháp</t>
  </si>
  <si>
    <t>BC Quốc Lộ 50-Gò Công Tây-Tiền Giang</t>
  </si>
  <si>
    <t>BC Quốc Lộ 53-Long Hồ-Vĩnh Long</t>
  </si>
  <si>
    <t>BC Quốc Lộ 53-Xã Trung Thành-Vĩnh Long</t>
  </si>
  <si>
    <t>BC Quốc Lộ 54-Xã Lai Vung-Đồng Tháp</t>
  </si>
  <si>
    <t>BC Quốc Lộ 57-Xã Hương Mỹ-Bến Tre</t>
  </si>
  <si>
    <t>BC Quốc Lộ 57B-Xã Lộc Thuận-Bến Tre</t>
  </si>
  <si>
    <t>BC Sơn Thông-Phường 9-Tp.Trà Vinh-Trà Vinh</t>
  </si>
  <si>
    <t>BC Tam Nông-Đồng Tháp</t>
  </si>
  <si>
    <t>BC Tân Nhuận Đông-Châu Thành-Đồng Tháp</t>
  </si>
  <si>
    <t>BC Tỉnh Lộ 868-Phú Cường-Cai Lậy-Tiền Giang</t>
  </si>
  <si>
    <t>BC Tỉnh Lộ DT848-Xã Mỹ An Hưng-Đồng Tháp</t>
  </si>
  <si>
    <t>BC Tổ 1 Đường 30/4-Trà Ôn-Vĩnh Long</t>
  </si>
  <si>
    <t>BC Võ Nguyên Giáp-Phú Tân-Bến Tre</t>
  </si>
  <si>
    <t>BC Xoài Xiêm-Ngãi Xuyên-Trà Cú-Trà Vinh</t>
  </si>
  <si>
    <t>TỔNG Vùng ĐCL</t>
  </si>
  <si>
    <t xml:space="preserve">BC Ấp Tân Thuận-Bình Tân-Vĩnh Long </t>
  </si>
  <si>
    <t>Bưu Cục 07 Lê Lợi-Mang Thít-Vĩnh Long</t>
  </si>
  <si>
    <t>Bưu Cục 12-14 Bà Triệu-Cao Lãnh-Đồng Tháp</t>
  </si>
  <si>
    <t>Bưu Cục 19 Đường DT848-Sa Đéc-Đồng Tháp</t>
  </si>
  <si>
    <t>Bưu Cục 206 A Đoàn Thị Nghiệp-Mỹ Tho-Tiền Giang 01</t>
  </si>
  <si>
    <t>Bưu Cục 230 Ấp Bình Hạnh-Long Bình Điền-Chợ Gạo-Tiền Giang</t>
  </si>
  <si>
    <t>Bưu Cục 286 Nguyễn Huệ-Tân Hồng-Đồng Tháp</t>
  </si>
  <si>
    <t>Bưu Cục 3/2 Thị Trấn Châu Thành-Bến Tre</t>
  </si>
  <si>
    <t>Bưu Cục 355 Võ Tấn Đức-Tam Bình-Vĩnh Long</t>
  </si>
  <si>
    <t>Bưu Cục 57/4 Phan Văn Đáng-Vĩnh Long-Vĩnh Long</t>
  </si>
  <si>
    <t>Bưu Cục 73 Phó Cơ Điều-Phường Phước Hậu-Vĩnh Long</t>
  </si>
  <si>
    <t>Bưu Cục 79 Đường Tỉnh 871-Xã Gia Thuận-Tiền Giang</t>
  </si>
  <si>
    <t>Bưu Cục 86 Tiên Thuỷ-Châu Thành-Bến Tre</t>
  </si>
  <si>
    <t>Bưu Cục 87 Lê Văn Vị-Cái Vồn-Bình Minh-Vĩnh Long</t>
  </si>
  <si>
    <t>Bưu Cục 88 Ấp Thân Hòa-Thân Cửu Nghĩa-Châu Thành-Tiền Giang</t>
  </si>
  <si>
    <t>Bưu Cục 888 QL1A-Phường 2-Cai Lậy-Tiền Giang</t>
  </si>
  <si>
    <t>Bưu Cục 89 Nguyễn Thị Định-TP.Bến Tre</t>
  </si>
  <si>
    <t>Bưu Cục 992 Đường Huyện 35-Vĩnh Kim-Châu Thành-Tiền Giang</t>
  </si>
  <si>
    <t>Bưu Cục Ấp 2-Phú Nhuận-Bến Tre</t>
  </si>
  <si>
    <t>Bưu cục Ấp 5A Thị Trấn Giồng Trôm-Giồng Trôm-Bến Tre</t>
  </si>
  <si>
    <t>Bưu Cục Ấp Bình Hiệp A-Xã Lấp Vò-Đồng Tháp</t>
  </si>
  <si>
    <t>Bưu Cục Ấp Cây Hẹ-Phú Cần-Tiểu Cần-Trà Vinh</t>
  </si>
  <si>
    <t>Bưu Cục Ấp Hậu Mỹ Phú 1-Cái Bè-Tiền Giang</t>
  </si>
  <si>
    <t>Bưu Cục Ấp Phú Long-Xã Hưng Khánh Trung-Bến Tre</t>
  </si>
  <si>
    <t>Bưu Cục Ấp Tân Thuận-Bình Tân-Vĩnh Long</t>
  </si>
  <si>
    <t>Bưu Cục DT846 Phương Trà-Xã Ba Sao-Đồng Tháp</t>
  </si>
  <si>
    <t>Bưu Cục Đường Tỉnh 861-Xã Mỹ Lợi-Tiền Giang</t>
  </si>
  <si>
    <t>Bưu Cục Duyên Hải-Trà Vinh</t>
  </si>
  <si>
    <t>Bưu Cục Hồng Ngự-Đồng Tháp</t>
  </si>
  <si>
    <t>Bưu Cục Khóm 3 Trần Hưng Đạo-Xã Tháp Mười-Đồng Tháp</t>
  </si>
  <si>
    <t>Bưu Cục Khóm 3 TT Càng Long-Xã Càng Long-Trà Vinh</t>
  </si>
  <si>
    <t>Bưu Cục Khóm 4 TT Châu Thành-Xã Châu Thành-Trà Vinh</t>
  </si>
  <si>
    <t>Bưu Cục Khóm 8-Cầu Kè-Trà Vinh</t>
  </si>
  <si>
    <t>Bưu Cục Khóm Thống Nhất-Xã Cầu Ngang-Trà Vinh</t>
  </si>
  <si>
    <t>Bưu Cục Khu phố 1-Tân Phước-Tiền Giang</t>
  </si>
  <si>
    <t>Bưu Cục KP2-Thị Trấn Ba Tri-Bến Tre</t>
  </si>
  <si>
    <t>Bưu Cục KP3 Phường 3-Gò Công-Tiền Giang</t>
  </si>
  <si>
    <t>Bưu Cục Long Trung-Cai Lậy-Tiền Giang</t>
  </si>
  <si>
    <t>Bưu Cục Mỏ Cày Nam-Bến Tre</t>
  </si>
  <si>
    <t>Bưu Cục Mỹ Thọ-Trần Quang Khải-Cao Lãnh-Đồng Tháp</t>
  </si>
  <si>
    <t>Bưu Cục Phước Hậu-Phước Mỹ Trung-Bến Tre</t>
  </si>
  <si>
    <t>Bưu Cục Phước Long-Lộc Hòa-Long Hồ-Vĩnh Long</t>
  </si>
  <si>
    <t>Bưu Cục QL 30-Thanh Bình-Đồng Tháp</t>
  </si>
  <si>
    <t>Bưu Cục QL1A Hòa Khánh-Cái Bè-Tiền Giang</t>
  </si>
  <si>
    <t>Bưu Cục QL50 Phường 9-Mỹ Tho-Tiền Giang</t>
  </si>
  <si>
    <t>Bưu Cục QL57 KP3-Thị Trấn Chợ Lách-Bến Tre</t>
  </si>
  <si>
    <t>Bưu Cục QL57-Bình Thạnh-Thạnh Phú-Bến Tre</t>
  </si>
  <si>
    <t>Bưu Cục QL57-Bình Thới-Bình Đại-Bến Tre</t>
  </si>
  <si>
    <t>Bưu Cục QL80-Xã Hòa Long-Đồng Tháp</t>
  </si>
  <si>
    <t>Bưu Cục Quốc Lộ 50-Gò Công Tây-Tiền Giang</t>
  </si>
  <si>
    <t>Bưu Cục Quốc Lộ 53-Long Hồ-Vĩnh Long</t>
  </si>
  <si>
    <t>Bưu Cục Quốc Lộ 53-Xã Trung Thành-Vĩnh Long</t>
  </si>
  <si>
    <t>Bưu Cục Quốc Lộ 54-Xã Lai Vung-Đồng Tháp</t>
  </si>
  <si>
    <t>Bưu Cục Quốc Lộ 57-Xã Hương Mỹ-Bến Tre</t>
  </si>
  <si>
    <t>Bưu Cục Quốc Lộ 57B-Xã Lộc Thuận-Bến Tre</t>
  </si>
  <si>
    <t>Bưu Cục Sơn Thông-Phường 9-Tp.Trà Vinh-Trà Vinh</t>
  </si>
  <si>
    <t>Bưu Cục Tam Nông-Đồng Tháp</t>
  </si>
  <si>
    <t>Bưu Cục Tân Nhuận Đông-Châu Thành-Đồng Tháp</t>
  </si>
  <si>
    <t>Bưu Cục Tỉnh Lộ 868-Phú Cường-Cai Lậy-Tiền Giang</t>
  </si>
  <si>
    <t>Bưu Cục Tỉnh Lộ DT848-Xã Mỹ An Hưng-Đồng Tháp</t>
  </si>
  <si>
    <t>Bưu Cục Tổ 1 Đường 30/4-Trà Ôn-Vĩnh Long</t>
  </si>
  <si>
    <t>Bưu Cục Võ Nguyên Giáp-Phú Tân-Bến Tre</t>
  </si>
  <si>
    <t>Bưu Cục Xoài Xiêm-Ngãi Xuyên-Trà Cú-Trà Vinh</t>
  </si>
  <si>
    <t>am_id</t>
  </si>
  <si>
    <t>am_tele</t>
  </si>
  <si>
    <t>%Đã thu/Cần thu</t>
  </si>
  <si>
    <t>W52</t>
  </si>
  <si>
    <t>W53</t>
  </si>
  <si>
    <t>So sánh</t>
  </si>
  <si>
    <t>2025-12-22,Monday</t>
  </si>
  <si>
    <t>2025-12-23,Tuesday</t>
  </si>
  <si>
    <t>2025-12-24,Wednesday</t>
  </si>
  <si>
    <t>2025-12-25,Thursday</t>
  </si>
  <si>
    <t>2025-12-26,Friday</t>
  </si>
  <si>
    <t>2025-12-27,Saturday</t>
  </si>
  <si>
    <t>2025-12-28,Sunday</t>
  </si>
  <si>
    <t>WTD</t>
  </si>
  <si>
    <t>2025-12-29,Monday</t>
  </si>
  <si>
    <t>2025-12-30,Tuesday</t>
  </si>
  <si>
    <t>So sánh ngày trước</t>
  </si>
  <si>
    <t>So sánh cùng kì tuần trước</t>
  </si>
  <si>
    <t>Đoàn Công Tín</t>
  </si>
  <si>
    <t>Huỳnh Phương Duy</t>
  </si>
  <si>
    <t>Lâm Xuân Vinh</t>
  </si>
  <si>
    <t>Lê Minh Tuấn</t>
  </si>
  <si>
    <t>Ngô Phan Mỹ Tú</t>
  </si>
  <si>
    <t>Nguyễn Anh Phương</t>
  </si>
  <si>
    <t>Nguyễn Hồng Khoa</t>
  </si>
  <si>
    <t>Nguyễn Thành Huy</t>
  </si>
  <si>
    <t>Nguyễn Việt Tới</t>
  </si>
  <si>
    <t>Trần Mạnh Hùng</t>
  </si>
  <si>
    <t>Võ Hoàng Phúc</t>
  </si>
  <si>
    <t>ĐCL</t>
  </si>
  <si>
    <t>%FD SME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</si>
</sst>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▲ 0.00%;▼ 0.00%;0.00%"/>
    <numFmt numFmtId="166" formatCode="▲ 0.00%;▼ 0.00%;— 0.00%"/>
  </numFmts>
  <fonts count="15">
    <font>
      <sz val="10.0"/>
      <color rgb="FF000000"/>
      <name val="Arial"/>
      <scheme val="minor"/>
    </font>
    <font>
      <b/>
      <i/>
      <color theme="1"/>
      <name val="Lora"/>
    </font>
    <font>
      <b/>
      <color rgb="FFFFFFFF"/>
      <name val="Lora"/>
    </font>
    <font>
      <color theme="1"/>
      <name val="Lora"/>
    </font>
    <font>
      <b/>
      <color theme="1"/>
      <name val="Lora"/>
    </font>
    <font/>
    <font>
      <color theme="1"/>
      <name val="Arial"/>
    </font>
    <font>
      <b/>
      <color rgb="FFFF0000"/>
      <name val="Lora"/>
    </font>
    <font>
      <b/>
      <sz val="12.0"/>
      <color theme="1"/>
      <name val="Lora"/>
    </font>
    <font>
      <color theme="1"/>
      <name val="Arial"/>
      <scheme val="minor"/>
    </font>
    <font>
      <b/>
      <sz val="9.0"/>
      <color theme="1"/>
      <name val="Lora"/>
    </font>
    <font>
      <sz val="9.0"/>
      <color theme="1"/>
      <name val="Lora"/>
    </font>
    <font>
      <color rgb="FFFF0000"/>
      <name val="Lora"/>
    </font>
    <font>
      <color rgb="FF34A853"/>
      <name val="Lora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ill="1" applyFont="1">
      <alignment readingOrder="0" vertical="center"/>
    </xf>
    <xf borderId="1" fillId="4" fontId="3" numFmtId="10" xfId="0" applyAlignment="1" applyBorder="1" applyFont="1" applyNumberFormat="1">
      <alignment readingOrder="0" vertical="center"/>
    </xf>
    <xf borderId="1" fillId="5" fontId="3" numFmtId="10" xfId="0" applyAlignment="1" applyBorder="1" applyFill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5" fontId="4" numFmtId="10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vertical="center"/>
    </xf>
    <xf borderId="0" fillId="0" fontId="3" numFmtId="165" xfId="0" applyAlignment="1" applyFont="1" applyNumberFormat="1">
      <alignment horizontal="center" vertical="center"/>
    </xf>
    <xf borderId="1" fillId="4" fontId="6" numFmtId="10" xfId="0" applyAlignment="1" applyBorder="1" applyFont="1" applyNumberFormat="1">
      <alignment vertical="bottom"/>
    </xf>
    <xf borderId="1" fillId="5" fontId="6" numFmtId="10" xfId="0" applyAlignment="1" applyBorder="1" applyFont="1" applyNumberFormat="1">
      <alignment horizontal="right" vertical="bottom"/>
    </xf>
    <xf borderId="1" fillId="5" fontId="6" numFmtId="10" xfId="0" applyAlignment="1" applyBorder="1" applyFont="1" applyNumberFormat="1">
      <alignment vertical="bottom"/>
    </xf>
    <xf borderId="1" fillId="6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" fillId="7" fontId="7" numFmtId="0" xfId="0" applyAlignment="1" applyBorder="1" applyFill="1" applyFont="1">
      <alignment horizontal="center" vertical="center"/>
    </xf>
    <xf borderId="2" fillId="8" fontId="8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2" fillId="9" fontId="8" numFmtId="0" xfId="0" applyAlignment="1" applyBorder="1" applyFill="1" applyFont="1">
      <alignment horizontal="center" readingOrder="0" vertical="center"/>
    </xf>
    <xf borderId="2" fillId="10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vertical="center"/>
    </xf>
    <xf borderId="1" fillId="5" fontId="10" numFmtId="0" xfId="0" applyAlignment="1" applyBorder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readingOrder="0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12" fontId="11" numFmtId="0" xfId="0" applyAlignment="1" applyBorder="1" applyFill="1" applyFont="1">
      <alignment horizontal="center" readingOrder="0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1" fillId="13" fontId="10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vertical="center"/>
    </xf>
    <xf borderId="1" fillId="5" fontId="12" numFmtId="10" xfId="0" applyAlignment="1" applyBorder="1" applyFont="1" applyNumberFormat="1">
      <alignment horizontal="center" readingOrder="0" vertical="center"/>
    </xf>
    <xf borderId="1" fillId="5" fontId="12" numFmtId="166" xfId="0" applyAlignment="1" applyBorder="1" applyFont="1" applyNumberFormat="1">
      <alignment horizontal="center" vertical="center"/>
    </xf>
    <xf borderId="1" fillId="5" fontId="13" numFmtId="166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7" numFmtId="10" xfId="0" applyAlignment="1" applyBorder="1" applyFont="1" applyNumberFormat="1">
      <alignment horizontal="center" readingOrder="0" vertical="center"/>
    </xf>
    <xf borderId="0" fillId="5" fontId="6" numFmtId="0" xfId="0" applyAlignment="1" applyFont="1">
      <alignment vertical="center"/>
    </xf>
    <xf borderId="1" fillId="0" fontId="3" numFmtId="10" xfId="0" applyAlignment="1" applyBorder="1" applyFont="1" applyNumberFormat="1">
      <alignment horizontal="center"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10">
    <dxf>
      <font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theme="7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theme="5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4285F4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48.5"/>
    <col customWidth="1" min="3" max="4" width="10.25"/>
    <col customWidth="1" min="5" max="5" width="9.88"/>
    <col customWidth="1" min="6" max="7" width="10.13"/>
    <col customWidth="1" min="8" max="8" width="14.13"/>
    <col customWidth="1" min="9" max="9" width="4.5"/>
    <col customWidth="1" min="10" max="10" width="16.75"/>
    <col customWidth="1" min="11" max="11" width="4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46160.0</v>
      </c>
      <c r="M1" s="4">
        <v>46161.0</v>
      </c>
      <c r="N1" s="4">
        <v>46162.0</v>
      </c>
      <c r="O1" s="4">
        <v>46163.0</v>
      </c>
      <c r="P1" s="4">
        <v>46164.0</v>
      </c>
      <c r="Q1" s="4">
        <v>46165.0</v>
      </c>
      <c r="R1" s="4">
        <v>46166.0</v>
      </c>
      <c r="S1" s="4">
        <v>46167.0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6" t="s">
        <v>10</v>
      </c>
      <c r="C2" s="7">
        <v>0.07504690432</v>
      </c>
      <c r="D2" s="7">
        <v>0.0736497545</v>
      </c>
      <c r="E2" s="7">
        <v>0.08578431373</v>
      </c>
      <c r="F2" s="7">
        <v>0.0694214876</v>
      </c>
      <c r="G2" s="7">
        <v>0.09523809524</v>
      </c>
      <c r="H2" s="8">
        <f t="shared" ref="H2:H64" si="1">G2-F2</f>
        <v>0.02581660764</v>
      </c>
      <c r="I2" s="9"/>
      <c r="J2" s="5" t="str">
        <f>IFERROR(__xludf.DUMMYFUNCTION("ARRAYFORMULA(
  IF(K2:K63="""","""",
    XLOOKUP(
      REGEXREPLACE(K2:K63,""^BC\b"",""Bưu Cục""),
      CoCauVung!B:B,
      CoCauVung!D:D
    )
  )
)
"),"Nguyễn Tuấn Anh")</f>
        <v>Nguyễn Tuấn Anh</v>
      </c>
      <c r="K2" s="5" t="s">
        <v>10</v>
      </c>
      <c r="L2" s="7">
        <v>0.06989247312</v>
      </c>
      <c r="M2" s="7">
        <v>0.09941520468</v>
      </c>
      <c r="N2" s="7">
        <v>0.04278074866</v>
      </c>
      <c r="O2" s="7">
        <v>0.08163265306</v>
      </c>
      <c r="P2" s="7">
        <v>0.07185628743</v>
      </c>
      <c r="Q2" s="7">
        <v>0.05681818182</v>
      </c>
      <c r="R2" s="7">
        <v>0.06818181818</v>
      </c>
      <c r="S2" s="7">
        <v>0.09523809524</v>
      </c>
      <c r="T2" s="8">
        <f t="shared" ref="T2:T62" si="2">S2-R2</f>
        <v>0.02705627706</v>
      </c>
      <c r="U2" s="8">
        <f t="shared" ref="U2:U62" si="3">S2-L2</f>
        <v>0.02534562212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5" t="str">
        <f>IFERROR(__xludf.DUMMYFUNCTION("""COMPUTED_VALUE"""),"Nguyễn Việt Tới")</f>
        <v>Nguyễn Việt Tới</v>
      </c>
      <c r="B3" s="6" t="s">
        <v>11</v>
      </c>
      <c r="C3" s="7">
        <v>0.05886764154</v>
      </c>
      <c r="D3" s="7">
        <v>0.06247944755</v>
      </c>
      <c r="E3" s="7">
        <v>0.06095551895</v>
      </c>
      <c r="F3" s="7">
        <v>0.06348704991</v>
      </c>
      <c r="G3" s="7">
        <v>0.04142011834</v>
      </c>
      <c r="H3" s="8">
        <f t="shared" si="1"/>
        <v>-0.02206693157</v>
      </c>
      <c r="I3" s="9"/>
      <c r="J3" s="5" t="str">
        <f>IFERROR(__xludf.DUMMYFUNCTION("""COMPUTED_VALUE"""),"Nguyễn Việt Tới")</f>
        <v>Nguyễn Việt Tới</v>
      </c>
      <c r="K3" s="5" t="s">
        <v>11</v>
      </c>
      <c r="L3" s="7">
        <v>0.0412371134</v>
      </c>
      <c r="M3" s="7">
        <v>0.0643776824</v>
      </c>
      <c r="N3" s="7">
        <v>0.08545034642</v>
      </c>
      <c r="O3" s="7">
        <v>0.06829268293</v>
      </c>
      <c r="P3" s="7">
        <v>0.04708097928</v>
      </c>
      <c r="Q3" s="7">
        <v>0.06334841629</v>
      </c>
      <c r="R3" s="7">
        <v>0.08270676692</v>
      </c>
      <c r="S3" s="7">
        <v>0.04142011834</v>
      </c>
      <c r="T3" s="8">
        <f t="shared" si="2"/>
        <v>-0.04128664858</v>
      </c>
      <c r="U3" s="8">
        <f t="shared" si="3"/>
        <v>0.00018300494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5" t="str">
        <f>IFERROR(__xludf.DUMMYFUNCTION("""COMPUTED_VALUE"""),"Lý Quài Nhân")</f>
        <v>Lý Quài Nhân</v>
      </c>
      <c r="B4" s="6" t="s">
        <v>12</v>
      </c>
      <c r="C4" s="7">
        <v>0.09606299213</v>
      </c>
      <c r="D4" s="7">
        <v>0.1005094951</v>
      </c>
      <c r="E4" s="7">
        <v>0.08614051973</v>
      </c>
      <c r="F4" s="7">
        <v>0.08329274233</v>
      </c>
      <c r="G4" s="7">
        <v>0.07213114754</v>
      </c>
      <c r="H4" s="8">
        <f t="shared" si="1"/>
        <v>-0.01116159479</v>
      </c>
      <c r="I4" s="9"/>
      <c r="J4" s="5" t="str">
        <f>IFERROR(__xludf.DUMMYFUNCTION("""COMPUTED_VALUE"""),"Lý Quài Nhân")</f>
        <v>Lý Quài Nhân</v>
      </c>
      <c r="K4" s="5" t="s">
        <v>12</v>
      </c>
      <c r="L4" s="7">
        <v>0.09666666667</v>
      </c>
      <c r="M4" s="7">
        <v>0.08013937282</v>
      </c>
      <c r="N4" s="7">
        <v>0.07865168539</v>
      </c>
      <c r="O4" s="7">
        <v>0.05538461538</v>
      </c>
      <c r="P4" s="7">
        <v>0.1197411003</v>
      </c>
      <c r="Q4" s="7">
        <v>0.07508532423</v>
      </c>
      <c r="R4" s="7">
        <v>0.07720588235</v>
      </c>
      <c r="S4" s="7">
        <v>0.07213114754</v>
      </c>
      <c r="T4" s="8">
        <f t="shared" si="2"/>
        <v>-0.00507473481</v>
      </c>
      <c r="U4" s="8">
        <f t="shared" si="3"/>
        <v>-0.02453551913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5" t="str">
        <f>IFERROR(__xludf.DUMMYFUNCTION("""COMPUTED_VALUE"""),"Đoàn Công Tín")</f>
        <v>Đoàn Công Tín</v>
      </c>
      <c r="B5" s="6" t="s">
        <v>13</v>
      </c>
      <c r="C5" s="7">
        <v>0.08451757666</v>
      </c>
      <c r="D5" s="7">
        <v>0.09680706522</v>
      </c>
      <c r="E5" s="7">
        <v>0.08457396262</v>
      </c>
      <c r="F5" s="7">
        <v>0.1150159744</v>
      </c>
      <c r="G5" s="7">
        <v>0.07755102041</v>
      </c>
      <c r="H5" s="8">
        <f t="shared" si="1"/>
        <v>-0.03746495399</v>
      </c>
      <c r="I5" s="9"/>
      <c r="J5" s="5" t="str">
        <f>IFERROR(__xludf.DUMMYFUNCTION("""COMPUTED_VALUE"""),"Đoàn Công Tín")</f>
        <v>Đoàn Công Tín</v>
      </c>
      <c r="K5" s="5" t="s">
        <v>13</v>
      </c>
      <c r="L5" s="7">
        <v>0.1023765996</v>
      </c>
      <c r="M5" s="7">
        <v>0.09009009009</v>
      </c>
      <c r="N5" s="7">
        <v>0.1074380165</v>
      </c>
      <c r="O5" s="7">
        <v>0.1150442478</v>
      </c>
      <c r="P5" s="7">
        <v>0.1420560748</v>
      </c>
      <c r="Q5" s="7">
        <v>0.1181102362</v>
      </c>
      <c r="R5" s="7">
        <v>0.138121547</v>
      </c>
      <c r="S5" s="7">
        <v>0.07755102041</v>
      </c>
      <c r="T5" s="8">
        <f t="shared" si="2"/>
        <v>-0.06057052659</v>
      </c>
      <c r="U5" s="8">
        <f t="shared" si="3"/>
        <v>-0.02482557919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5" t="str">
        <f>IFERROR(__xludf.DUMMYFUNCTION("""COMPUTED_VALUE"""),"Đoàn Công Tín")</f>
        <v>Đoàn Công Tín</v>
      </c>
      <c r="B6" s="6" t="s">
        <v>14</v>
      </c>
      <c r="C6" s="7">
        <v>0.0701089531</v>
      </c>
      <c r="D6" s="7">
        <v>0.08261245675</v>
      </c>
      <c r="E6" s="7">
        <v>0.08304347826</v>
      </c>
      <c r="F6" s="7">
        <v>0.07920353982</v>
      </c>
      <c r="G6" s="7">
        <v>0.07605633803</v>
      </c>
      <c r="H6" s="8">
        <f t="shared" si="1"/>
        <v>-0.00314720179</v>
      </c>
      <c r="I6" s="9"/>
      <c r="J6" s="5" t="str">
        <f>IFERROR(__xludf.DUMMYFUNCTION("""COMPUTED_VALUE"""),"Đoàn Công Tín")</f>
        <v>Đoàn Công Tín</v>
      </c>
      <c r="K6" s="5" t="s">
        <v>14</v>
      </c>
      <c r="L6" s="7">
        <v>0.08615384615</v>
      </c>
      <c r="M6" s="7">
        <v>0.06811989101</v>
      </c>
      <c r="N6" s="7">
        <v>0.08794788274</v>
      </c>
      <c r="O6" s="7">
        <v>0.06472491909</v>
      </c>
      <c r="P6" s="7">
        <v>0.09836065574</v>
      </c>
      <c r="Q6" s="7">
        <v>0.073089701</v>
      </c>
      <c r="R6" s="7">
        <v>0.07368421053</v>
      </c>
      <c r="S6" s="7">
        <v>0.07605633803</v>
      </c>
      <c r="T6" s="8">
        <f t="shared" si="2"/>
        <v>0.0023721275</v>
      </c>
      <c r="U6" s="8">
        <f t="shared" si="3"/>
        <v>-0.01009750812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5" t="str">
        <f>IFERROR(__xludf.DUMMYFUNCTION("""COMPUTED_VALUE"""),"Ngô Phan Mỹ Tú")</f>
        <v>Ngô Phan Mỹ Tú</v>
      </c>
      <c r="B7" s="6" t="s">
        <v>15</v>
      </c>
      <c r="C7" s="7">
        <v>0.06071964018</v>
      </c>
      <c r="D7" s="7">
        <v>0.06215469613</v>
      </c>
      <c r="E7" s="7">
        <v>0.06797385621</v>
      </c>
      <c r="F7" s="7">
        <v>0.07232913072</v>
      </c>
      <c r="G7" s="7">
        <v>0.06726457399</v>
      </c>
      <c r="H7" s="8">
        <f t="shared" si="1"/>
        <v>-0.00506455673</v>
      </c>
      <c r="I7" s="9"/>
      <c r="J7" s="5" t="str">
        <f>IFERROR(__xludf.DUMMYFUNCTION("""COMPUTED_VALUE"""),"Ngô Phan Mỹ Tú")</f>
        <v>Ngô Phan Mỹ Tú</v>
      </c>
      <c r="K7" s="5" t="s">
        <v>15</v>
      </c>
      <c r="L7" s="7">
        <v>0.09649122807</v>
      </c>
      <c r="M7" s="7">
        <v>0.04245283019</v>
      </c>
      <c r="N7" s="7">
        <v>0.09174311927</v>
      </c>
      <c r="O7" s="7">
        <v>0.07537688442</v>
      </c>
      <c r="P7" s="7">
        <v>0.06306306306</v>
      </c>
      <c r="Q7" s="7">
        <v>0.07211538462</v>
      </c>
      <c r="R7" s="7">
        <v>0.06363636364</v>
      </c>
      <c r="S7" s="7">
        <v>0.06726457399</v>
      </c>
      <c r="T7" s="8">
        <f t="shared" si="2"/>
        <v>0.00362821035</v>
      </c>
      <c r="U7" s="8">
        <f t="shared" si="3"/>
        <v>-0.02922665408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5" t="str">
        <f>IFERROR(__xludf.DUMMYFUNCTION("""COMPUTED_VALUE"""),"Lâm Xuân Vinh")</f>
        <v>Lâm Xuân Vinh</v>
      </c>
      <c r="B8" s="6" t="s">
        <v>16</v>
      </c>
      <c r="C8" s="7">
        <v>0.08581560284</v>
      </c>
      <c r="D8" s="7">
        <v>0.1078493937</v>
      </c>
      <c r="E8" s="7">
        <v>0.1344537815</v>
      </c>
      <c r="F8" s="7">
        <v>0.1273584906</v>
      </c>
      <c r="G8" s="7">
        <v>0.09473684211</v>
      </c>
      <c r="H8" s="8">
        <f t="shared" si="1"/>
        <v>-0.03262164849</v>
      </c>
      <c r="I8" s="9"/>
      <c r="J8" s="5" t="str">
        <f>IFERROR(__xludf.DUMMYFUNCTION("""COMPUTED_VALUE"""),"Lâm Xuân Vinh")</f>
        <v>Lâm Xuân Vinh</v>
      </c>
      <c r="K8" s="5" t="s">
        <v>16</v>
      </c>
      <c r="L8" s="7">
        <v>0.1419141914</v>
      </c>
      <c r="M8" s="7">
        <v>0.1566820276</v>
      </c>
      <c r="N8" s="7">
        <v>0.12890625</v>
      </c>
      <c r="O8" s="7">
        <v>0.1348314607</v>
      </c>
      <c r="P8" s="7">
        <v>0.1368821293</v>
      </c>
      <c r="Q8" s="7">
        <v>0.07407407407</v>
      </c>
      <c r="R8" s="7">
        <v>0.1088435374</v>
      </c>
      <c r="S8" s="7">
        <v>0.09473684211</v>
      </c>
      <c r="T8" s="8">
        <f t="shared" si="2"/>
        <v>-0.01410669529</v>
      </c>
      <c r="U8" s="8">
        <f t="shared" si="3"/>
        <v>-0.04717734929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>
      <c r="A9" s="5" t="str">
        <f>IFERROR(__xludf.DUMMYFUNCTION("""COMPUTED_VALUE"""),"Nguyễn Tuấn Anh")</f>
        <v>Nguyễn Tuấn Anh</v>
      </c>
      <c r="B9" s="6" t="s">
        <v>17</v>
      </c>
      <c r="C9" s="7">
        <v>0.06971830986</v>
      </c>
      <c r="D9" s="7">
        <v>0.06396866841</v>
      </c>
      <c r="E9" s="7">
        <v>0.08148148148</v>
      </c>
      <c r="F9" s="7">
        <v>0.085572843</v>
      </c>
      <c r="G9" s="7">
        <v>0.06425702811</v>
      </c>
      <c r="H9" s="8">
        <f t="shared" si="1"/>
        <v>-0.02131581489</v>
      </c>
      <c r="I9" s="9"/>
      <c r="J9" s="5" t="str">
        <f>IFERROR(__xludf.DUMMYFUNCTION("""COMPUTED_VALUE"""),"Nguyễn Tuấn Anh")</f>
        <v>Nguyễn Tuấn Anh</v>
      </c>
      <c r="K9" s="5" t="s">
        <v>17</v>
      </c>
      <c r="L9" s="7">
        <v>0.09871244635</v>
      </c>
      <c r="M9" s="7">
        <v>0.1170212766</v>
      </c>
      <c r="N9" s="7">
        <v>0.07843137255</v>
      </c>
      <c r="O9" s="7">
        <v>0.09708737864</v>
      </c>
      <c r="P9" s="7">
        <v>0.07070707071</v>
      </c>
      <c r="Q9" s="7">
        <v>0.06565656566</v>
      </c>
      <c r="R9" s="7">
        <v>0.06951871658</v>
      </c>
      <c r="S9" s="7">
        <v>0.06425702811</v>
      </c>
      <c r="T9" s="8">
        <f t="shared" si="2"/>
        <v>-0.00526168847</v>
      </c>
      <c r="U9" s="8">
        <f t="shared" si="3"/>
        <v>-0.03445541824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5" t="str">
        <f>IFERROR(__xludf.DUMMYFUNCTION("""COMPUTED_VALUE"""),"Nguyễn Tuấn Anh")</f>
        <v>Nguyễn Tuấn Anh</v>
      </c>
      <c r="B10" s="6" t="s">
        <v>18</v>
      </c>
      <c r="C10" s="7">
        <v>0.06385471588</v>
      </c>
      <c r="D10" s="7">
        <v>0.07618173474</v>
      </c>
      <c r="E10" s="7">
        <v>0.05667447307</v>
      </c>
      <c r="F10" s="7">
        <v>0.0725730443</v>
      </c>
      <c r="G10" s="7">
        <v>0.06233766234</v>
      </c>
      <c r="H10" s="8">
        <f t="shared" si="1"/>
        <v>-0.01023538196</v>
      </c>
      <c r="I10" s="9"/>
      <c r="J10" s="5" t="str">
        <f>IFERROR(__xludf.DUMMYFUNCTION("""COMPUTED_VALUE"""),"Nguyễn Tuấn Anh")</f>
        <v>Nguyễn Tuấn Anh</v>
      </c>
      <c r="K10" s="5" t="s">
        <v>18</v>
      </c>
      <c r="L10" s="7">
        <v>0.05882352941</v>
      </c>
      <c r="M10" s="7">
        <v>0.09920634921</v>
      </c>
      <c r="N10" s="7">
        <v>0.07371794872</v>
      </c>
      <c r="O10" s="7">
        <v>0.06093189964</v>
      </c>
      <c r="P10" s="7">
        <v>0.07508532423</v>
      </c>
      <c r="Q10" s="7">
        <v>0.08083832335</v>
      </c>
      <c r="R10" s="7">
        <v>0.06474820144</v>
      </c>
      <c r="S10" s="7">
        <v>0.06233766234</v>
      </c>
      <c r="T10" s="8">
        <f t="shared" si="2"/>
        <v>-0.0024105391</v>
      </c>
      <c r="U10" s="8">
        <f t="shared" si="3"/>
        <v>0.00351413293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>
      <c r="A11" s="5" t="str">
        <f>IFERROR(__xludf.DUMMYFUNCTION("""COMPUTED_VALUE"""),"Nguyễn Tuấn Anh")</f>
        <v>Nguyễn Tuấn Anh</v>
      </c>
      <c r="B11" s="6" t="s">
        <v>19</v>
      </c>
      <c r="C11" s="7">
        <v>0.2540394973</v>
      </c>
      <c r="D11" s="7">
        <v>0.1352087114</v>
      </c>
      <c r="E11" s="7">
        <v>0.06868686869</v>
      </c>
      <c r="F11" s="7">
        <v>0.2746566792</v>
      </c>
      <c r="G11" s="7">
        <v>0.1657142857</v>
      </c>
      <c r="H11" s="8">
        <f t="shared" si="1"/>
        <v>-0.1089423935</v>
      </c>
      <c r="I11" s="9"/>
      <c r="J11" s="5" t="str">
        <f>IFERROR(__xludf.DUMMYFUNCTION("""COMPUTED_VALUE"""),"Nguyễn Tuấn Anh")</f>
        <v>Nguyễn Tuấn Anh</v>
      </c>
      <c r="K11" s="5" t="s">
        <v>19</v>
      </c>
      <c r="L11" s="7">
        <v>0.07428571429</v>
      </c>
      <c r="M11" s="7">
        <v>0.1569506726</v>
      </c>
      <c r="N11" s="7">
        <v>0.2474747475</v>
      </c>
      <c r="O11" s="7">
        <v>0.3879781421</v>
      </c>
      <c r="P11" s="7">
        <v>0.2696078431</v>
      </c>
      <c r="Q11" s="7">
        <v>0.4745762712</v>
      </c>
      <c r="R11" s="7">
        <v>0.4423076923</v>
      </c>
      <c r="S11" s="7">
        <v>0.1657142857</v>
      </c>
      <c r="T11" s="8">
        <f t="shared" si="2"/>
        <v>-0.2765934066</v>
      </c>
      <c r="U11" s="8">
        <f t="shared" si="3"/>
        <v>0.09142857141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5" t="str">
        <f>IFERROR(__xludf.DUMMYFUNCTION("""COMPUTED_VALUE"""),"Nguyễn Anh Tùng")</f>
        <v>Nguyễn Anh Tùng</v>
      </c>
      <c r="B12" s="6" t="s">
        <v>20</v>
      </c>
      <c r="C12" s="7">
        <v>0.05668016194</v>
      </c>
      <c r="D12" s="7">
        <v>0.05412793876</v>
      </c>
      <c r="E12" s="7">
        <v>0.05203862661</v>
      </c>
      <c r="F12" s="7">
        <v>0.06191265893</v>
      </c>
      <c r="G12" s="7">
        <v>0.05494505495</v>
      </c>
      <c r="H12" s="8">
        <f t="shared" si="1"/>
        <v>-0.00696760398</v>
      </c>
      <c r="I12" s="9"/>
      <c r="J12" s="5" t="str">
        <f>IFERROR(__xludf.DUMMYFUNCTION("""COMPUTED_VALUE"""),"Nguyễn Anh Tùng")</f>
        <v>Nguyễn Anh Tùng</v>
      </c>
      <c r="K12" s="5" t="s">
        <v>20</v>
      </c>
      <c r="L12" s="7">
        <v>0.05454545455</v>
      </c>
      <c r="M12" s="7">
        <v>0.08148148148</v>
      </c>
      <c r="N12" s="7">
        <v>0.05</v>
      </c>
      <c r="O12" s="7">
        <v>0.0635451505</v>
      </c>
      <c r="P12" s="7">
        <v>0.07089552239</v>
      </c>
      <c r="Q12" s="7">
        <v>0.05454545455</v>
      </c>
      <c r="R12" s="7">
        <v>0.05485232068</v>
      </c>
      <c r="S12" s="7">
        <v>0.05494505495</v>
      </c>
      <c r="T12" s="8">
        <f t="shared" si="2"/>
        <v>0.00009273427</v>
      </c>
      <c r="U12" s="8">
        <f t="shared" si="3"/>
        <v>0.0003996004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5" t="str">
        <f>IFERROR(__xludf.DUMMYFUNCTION("""COMPUTED_VALUE"""),"Huỳnh Quốc Trung")</f>
        <v>Huỳnh Quốc Trung</v>
      </c>
      <c r="B13" s="6" t="s">
        <v>21</v>
      </c>
      <c r="C13" s="7">
        <v>0.2086889061</v>
      </c>
      <c r="D13" s="7">
        <v>0.1461716937</v>
      </c>
      <c r="E13" s="7">
        <v>0.1115674196</v>
      </c>
      <c r="F13" s="7">
        <v>0.1226903178</v>
      </c>
      <c r="G13" s="7">
        <v>0.09051724138</v>
      </c>
      <c r="H13" s="8">
        <f t="shared" si="1"/>
        <v>-0.03217307642</v>
      </c>
      <c r="I13" s="9"/>
      <c r="J13" s="5" t="str">
        <f>IFERROR(__xludf.DUMMYFUNCTION("""COMPUTED_VALUE"""),"Huỳnh Quốc Trung")</f>
        <v>Huỳnh Quốc Trung</v>
      </c>
      <c r="K13" s="5" t="s">
        <v>21</v>
      </c>
      <c r="L13" s="7">
        <v>0.1344537815</v>
      </c>
      <c r="M13" s="7">
        <v>0.185</v>
      </c>
      <c r="N13" s="7">
        <v>0.112195122</v>
      </c>
      <c r="O13" s="7">
        <v>0.1052631579</v>
      </c>
      <c r="P13" s="7">
        <v>0.109375</v>
      </c>
      <c r="Q13" s="7">
        <v>0.09302325581</v>
      </c>
      <c r="R13" s="7">
        <v>0.1085714286</v>
      </c>
      <c r="S13" s="7">
        <v>0.09051724138</v>
      </c>
      <c r="T13" s="8">
        <f t="shared" si="2"/>
        <v>-0.01805418722</v>
      </c>
      <c r="U13" s="8">
        <f t="shared" si="3"/>
        <v>-0.04393654012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>
      <c r="A14" s="5" t="str">
        <f>IFERROR(__xludf.DUMMYFUNCTION("""COMPUTED_VALUE"""),"Nguyễn Tuấn Anh")</f>
        <v>Nguyễn Tuấn Anh</v>
      </c>
      <c r="B14" s="6" t="s">
        <v>22</v>
      </c>
      <c r="C14" s="7">
        <v>0.06644790812</v>
      </c>
      <c r="D14" s="7">
        <v>0.08238446082</v>
      </c>
      <c r="E14" s="7">
        <v>0.08984105045</v>
      </c>
      <c r="F14" s="7">
        <v>0.08424908425</v>
      </c>
      <c r="G14" s="7">
        <v>0.05063291139</v>
      </c>
      <c r="H14" s="8">
        <f t="shared" si="1"/>
        <v>-0.03361617286</v>
      </c>
      <c r="I14" s="9"/>
      <c r="J14" s="5" t="str">
        <f>IFERROR(__xludf.DUMMYFUNCTION("""COMPUTED_VALUE"""),"Nguyễn Tuấn Anh")</f>
        <v>Nguyễn Tuấn Anh</v>
      </c>
      <c r="K14" s="5" t="s">
        <v>22</v>
      </c>
      <c r="L14" s="7">
        <v>0.08173076923</v>
      </c>
      <c r="M14" s="7">
        <v>0.09139784946</v>
      </c>
      <c r="N14" s="7">
        <v>0.08620689655</v>
      </c>
      <c r="O14" s="7">
        <v>0.07428571429</v>
      </c>
      <c r="P14" s="7">
        <v>0.09821428571</v>
      </c>
      <c r="Q14" s="7">
        <v>0.05726872247</v>
      </c>
      <c r="R14" s="7">
        <v>0.1052631579</v>
      </c>
      <c r="S14" s="7">
        <v>0.05063291139</v>
      </c>
      <c r="T14" s="8">
        <f t="shared" si="2"/>
        <v>-0.05463024651</v>
      </c>
      <c r="U14" s="8">
        <f t="shared" si="3"/>
        <v>-0.03109785784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>
      <c r="A15" s="5" t="str">
        <f>IFERROR(__xludf.DUMMYFUNCTION("""COMPUTED_VALUE"""),"Nguyễn Anh Tùng")</f>
        <v>Nguyễn Anh Tùng</v>
      </c>
      <c r="B15" s="6" t="s">
        <v>23</v>
      </c>
      <c r="C15" s="7">
        <v>0.08609693878</v>
      </c>
      <c r="D15" s="7">
        <v>0.1032011467</v>
      </c>
      <c r="E15" s="7">
        <v>0.1148433954</v>
      </c>
      <c r="F15" s="7">
        <v>0.1164742917</v>
      </c>
      <c r="G15" s="7">
        <v>0.1556291391</v>
      </c>
      <c r="H15" s="8">
        <f t="shared" si="1"/>
        <v>0.0391548474</v>
      </c>
      <c r="I15" s="9"/>
      <c r="J15" s="5" t="str">
        <f>IFERROR(__xludf.DUMMYFUNCTION("""COMPUTED_VALUE"""),"Nguyễn Anh Tùng")</f>
        <v>Nguyễn Anh Tùng</v>
      </c>
      <c r="K15" s="5" t="s">
        <v>23</v>
      </c>
      <c r="L15" s="7">
        <v>0.09589041096</v>
      </c>
      <c r="M15" s="7">
        <v>0.1072555205</v>
      </c>
      <c r="N15" s="7">
        <v>0.1024590164</v>
      </c>
      <c r="O15" s="7">
        <v>0.126394052</v>
      </c>
      <c r="P15" s="7">
        <v>0.1043165468</v>
      </c>
      <c r="Q15" s="7">
        <v>0.1417004049</v>
      </c>
      <c r="R15" s="7">
        <v>0.1428571429</v>
      </c>
      <c r="S15" s="7">
        <v>0.1556291391</v>
      </c>
      <c r="T15" s="8">
        <f t="shared" si="2"/>
        <v>0.0127719962</v>
      </c>
      <c r="U15" s="8">
        <f t="shared" si="3"/>
        <v>0.05973872814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5" t="str">
        <f>IFERROR(__xludf.DUMMYFUNCTION("""COMPUTED_VALUE"""),"Đoàn Công Tín")</f>
        <v>Đoàn Công Tín</v>
      </c>
      <c r="B16" s="6" t="s">
        <v>24</v>
      </c>
      <c r="C16" s="7">
        <v>0.06546990496</v>
      </c>
      <c r="D16" s="7">
        <v>0.07490079365</v>
      </c>
      <c r="E16" s="7">
        <v>0.07251908397</v>
      </c>
      <c r="F16" s="7">
        <v>0.07733204447</v>
      </c>
      <c r="G16" s="7">
        <v>0.05067567568</v>
      </c>
      <c r="H16" s="8">
        <f t="shared" si="1"/>
        <v>-0.02665636879</v>
      </c>
      <c r="I16" s="9"/>
      <c r="J16" s="5" t="str">
        <f>IFERROR(__xludf.DUMMYFUNCTION("""COMPUTED_VALUE"""),"Đoàn Công Tín")</f>
        <v>Đoàn Công Tín</v>
      </c>
      <c r="K16" s="5" t="s">
        <v>24</v>
      </c>
      <c r="L16" s="7">
        <v>0.05387205387</v>
      </c>
      <c r="M16" s="7">
        <v>0.07196969697</v>
      </c>
      <c r="N16" s="7">
        <v>0.09841269841</v>
      </c>
      <c r="O16" s="7">
        <v>0.07457627119</v>
      </c>
      <c r="P16" s="7">
        <v>0.07986111111</v>
      </c>
      <c r="Q16" s="7">
        <v>0.06024096386</v>
      </c>
      <c r="R16" s="7">
        <v>0.1043165468</v>
      </c>
      <c r="S16" s="7">
        <v>0.05067567568</v>
      </c>
      <c r="T16" s="8">
        <f t="shared" si="2"/>
        <v>-0.05364087112</v>
      </c>
      <c r="U16" s="8">
        <f t="shared" si="3"/>
        <v>-0.00319637819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5" t="str">
        <f>IFERROR(__xludf.DUMMYFUNCTION("""COMPUTED_VALUE"""),"#N/A")</f>
        <v>#N/A</v>
      </c>
      <c r="B17" s="6" t="s">
        <v>25</v>
      </c>
      <c r="C17" s="7">
        <v>0.07186030893</v>
      </c>
      <c r="D17" s="7">
        <v>0.08323057953</v>
      </c>
      <c r="E17" s="7">
        <v>0.06070826307</v>
      </c>
      <c r="F17" s="7"/>
      <c r="G17" s="7"/>
      <c r="H17" s="8">
        <f t="shared" si="1"/>
        <v>0</v>
      </c>
      <c r="I17" s="9"/>
      <c r="J17" s="5" t="str">
        <f>IFERROR(__xludf.DUMMYFUNCTION("""COMPUTED_VALUE"""),"Nguyễn Anh Tùng")</f>
        <v>Nguyễn Anh Tùng</v>
      </c>
      <c r="K17" s="5" t="s">
        <v>26</v>
      </c>
      <c r="L17" s="7">
        <v>0.1156716418</v>
      </c>
      <c r="M17" s="7">
        <v>0.1487179487</v>
      </c>
      <c r="N17" s="7">
        <v>0.140969163</v>
      </c>
      <c r="O17" s="7">
        <v>0.1522633745</v>
      </c>
      <c r="P17" s="7">
        <v>0.1405405405</v>
      </c>
      <c r="Q17" s="7">
        <v>0.1428571429</v>
      </c>
      <c r="R17" s="7">
        <v>0.246835443</v>
      </c>
      <c r="S17" s="7">
        <v>0.1590909091</v>
      </c>
      <c r="T17" s="8">
        <f t="shared" si="2"/>
        <v>-0.0877445339</v>
      </c>
      <c r="U17" s="8">
        <f t="shared" si="3"/>
        <v>0.0434192673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5" t="str">
        <f>IFERROR(__xludf.DUMMYFUNCTION("""COMPUTED_VALUE"""),"Nguyễn Anh Tùng")</f>
        <v>Nguyễn Anh Tùng</v>
      </c>
      <c r="B18" s="6" t="s">
        <v>26</v>
      </c>
      <c r="C18" s="7">
        <v>0.1527415144</v>
      </c>
      <c r="D18" s="7">
        <v>0.1644547028</v>
      </c>
      <c r="E18" s="7">
        <v>0.1302931596</v>
      </c>
      <c r="F18" s="7">
        <v>0.1504885993</v>
      </c>
      <c r="G18" s="7">
        <v>0.1590909091</v>
      </c>
      <c r="H18" s="8">
        <f t="shared" si="1"/>
        <v>0.0086023098</v>
      </c>
      <c r="I18" s="9"/>
      <c r="J18" s="5" t="str">
        <f>IFERROR(__xludf.DUMMYFUNCTION("""COMPUTED_VALUE"""),"Lâm Xuân Vinh")</f>
        <v>Lâm Xuân Vinh</v>
      </c>
      <c r="K18" s="5" t="s">
        <v>27</v>
      </c>
      <c r="L18" s="7">
        <v>0.06451612903</v>
      </c>
      <c r="M18" s="7">
        <v>0.1318681319</v>
      </c>
      <c r="N18" s="7">
        <v>0.07608695652</v>
      </c>
      <c r="O18" s="7">
        <v>0.09714285714</v>
      </c>
      <c r="P18" s="7">
        <v>0.08333333333</v>
      </c>
      <c r="Q18" s="7">
        <v>0.07471264368</v>
      </c>
      <c r="R18" s="7">
        <v>0.1318681319</v>
      </c>
      <c r="S18" s="7">
        <v>0.08943089431</v>
      </c>
      <c r="T18" s="8">
        <f t="shared" si="2"/>
        <v>-0.04243723759</v>
      </c>
      <c r="U18" s="8">
        <f t="shared" si="3"/>
        <v>0.02491476528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5" t="str">
        <f>IFERROR(__xludf.DUMMYFUNCTION("""COMPUTED_VALUE"""),"Lâm Xuân Vinh")</f>
        <v>Lâm Xuân Vinh</v>
      </c>
      <c r="B19" s="6" t="s">
        <v>27</v>
      </c>
      <c r="C19" s="7">
        <v>0.07828089025</v>
      </c>
      <c r="D19" s="7">
        <v>0.081232493</v>
      </c>
      <c r="E19" s="7">
        <v>0.08938547486</v>
      </c>
      <c r="F19" s="7">
        <v>0.08995137763</v>
      </c>
      <c r="G19" s="7">
        <v>0.08943089431</v>
      </c>
      <c r="H19" s="8">
        <f t="shared" si="1"/>
        <v>-0.00052048332</v>
      </c>
      <c r="I19" s="9"/>
      <c r="J19" s="5" t="str">
        <f>IFERROR(__xludf.DUMMYFUNCTION("""COMPUTED_VALUE"""),"Nguyễn Thành Huy")</f>
        <v>Nguyễn Thành Huy</v>
      </c>
      <c r="K19" s="5" t="s">
        <v>28</v>
      </c>
      <c r="L19" s="7">
        <v>0.1460674157</v>
      </c>
      <c r="M19" s="7">
        <v>0.1166666667</v>
      </c>
      <c r="N19" s="7">
        <v>0.1187214612</v>
      </c>
      <c r="O19" s="7">
        <v>0.09777777778</v>
      </c>
      <c r="P19" s="7">
        <v>0.1003460208</v>
      </c>
      <c r="Q19" s="7">
        <v>0.09482758621</v>
      </c>
      <c r="R19" s="7">
        <v>0.08097165992</v>
      </c>
      <c r="S19" s="7">
        <v>0.1080139373</v>
      </c>
      <c r="T19" s="8">
        <f t="shared" si="2"/>
        <v>0.02704227738</v>
      </c>
      <c r="U19" s="8">
        <f t="shared" si="3"/>
        <v>-0.0380534784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>
      <c r="A20" s="5" t="str">
        <f>IFERROR(__xludf.DUMMYFUNCTION("""COMPUTED_VALUE"""),"Nguyễn Thành Huy")</f>
        <v>Nguyễn Thành Huy</v>
      </c>
      <c r="B20" s="6" t="s">
        <v>28</v>
      </c>
      <c r="C20" s="7">
        <v>0.09183064997</v>
      </c>
      <c r="D20" s="7">
        <v>0.09769484083</v>
      </c>
      <c r="E20" s="7">
        <v>0.1010913268</v>
      </c>
      <c r="F20" s="7">
        <v>0.1082024433</v>
      </c>
      <c r="G20" s="7">
        <v>0.1080139373</v>
      </c>
      <c r="H20" s="8">
        <f t="shared" si="1"/>
        <v>-0.000188506</v>
      </c>
      <c r="I20" s="9"/>
      <c r="J20" s="5" t="str">
        <f>IFERROR(__xludf.DUMMYFUNCTION("""COMPUTED_VALUE"""),"Lý Quài Nhân")</f>
        <v>Lý Quài Nhân</v>
      </c>
      <c r="K20" s="5" t="s">
        <v>29</v>
      </c>
      <c r="L20" s="7">
        <v>0.07344632768</v>
      </c>
      <c r="M20" s="7">
        <v>0.1333333333</v>
      </c>
      <c r="N20" s="7">
        <v>0.07476635514</v>
      </c>
      <c r="O20" s="7">
        <v>0.102189781</v>
      </c>
      <c r="P20" s="7">
        <v>0.07865168539</v>
      </c>
      <c r="Q20" s="7">
        <v>0.05769230769</v>
      </c>
      <c r="R20" s="7">
        <v>0.1057692308</v>
      </c>
      <c r="S20" s="7">
        <v>0.1031746032</v>
      </c>
      <c r="T20" s="8">
        <f t="shared" si="2"/>
        <v>-0.0025946276</v>
      </c>
      <c r="U20" s="8">
        <f t="shared" si="3"/>
        <v>0.02972827552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5" t="str">
        <f>IFERROR(__xludf.DUMMYFUNCTION("""COMPUTED_VALUE"""),"Lý Quài Nhân")</f>
        <v>Lý Quài Nhân</v>
      </c>
      <c r="B21" s="6" t="s">
        <v>29</v>
      </c>
      <c r="C21" s="7">
        <v>0.08134490239</v>
      </c>
      <c r="D21" s="7">
        <v>0.09523809524</v>
      </c>
      <c r="E21" s="7">
        <v>0.09135559921</v>
      </c>
      <c r="F21" s="7">
        <v>0.08609958506</v>
      </c>
      <c r="G21" s="7">
        <v>0.1031746032</v>
      </c>
      <c r="H21" s="8">
        <f t="shared" si="1"/>
        <v>0.01707501814</v>
      </c>
      <c r="I21" s="9"/>
      <c r="J21" s="5" t="str">
        <f>IFERROR(__xludf.DUMMYFUNCTION("""COMPUTED_VALUE"""),"Nguyễn Thành Huy")</f>
        <v>Nguyễn Thành Huy</v>
      </c>
      <c r="K21" s="5" t="s">
        <v>30</v>
      </c>
      <c r="L21" s="7">
        <v>0.08898305085</v>
      </c>
      <c r="M21" s="7">
        <v>0.07386363636</v>
      </c>
      <c r="N21" s="7">
        <v>0.1047619048</v>
      </c>
      <c r="O21" s="7">
        <v>0.0582010582</v>
      </c>
      <c r="P21" s="7">
        <v>0.05263157895</v>
      </c>
      <c r="Q21" s="7">
        <v>0.09049773756</v>
      </c>
      <c r="R21" s="7">
        <v>0.09696969697</v>
      </c>
      <c r="S21" s="7">
        <v>0.07421875</v>
      </c>
      <c r="T21" s="8">
        <f t="shared" si="2"/>
        <v>-0.02275094697</v>
      </c>
      <c r="U21" s="8">
        <f t="shared" si="3"/>
        <v>-0.01476430085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5" t="str">
        <f>IFERROR(__xludf.DUMMYFUNCTION("""COMPUTED_VALUE"""),"Nguyễn Thành Huy")</f>
        <v>Nguyễn Thành Huy</v>
      </c>
      <c r="B22" s="6" t="s">
        <v>30</v>
      </c>
      <c r="C22" s="7">
        <v>0.07318952234</v>
      </c>
      <c r="D22" s="7">
        <v>0.06404958678</v>
      </c>
      <c r="E22" s="7">
        <v>0.07459535538</v>
      </c>
      <c r="F22" s="7">
        <v>0.08108108108</v>
      </c>
      <c r="G22" s="7">
        <v>0.07421875</v>
      </c>
      <c r="H22" s="8">
        <f t="shared" si="1"/>
        <v>-0.00686233108</v>
      </c>
      <c r="I22" s="9"/>
      <c r="J22" s="5" t="str">
        <f>IFERROR(__xludf.DUMMYFUNCTION("""COMPUTED_VALUE"""),"Lê Minh Tuấn")</f>
        <v>Lê Minh Tuấn</v>
      </c>
      <c r="K22" s="5" t="s">
        <v>31</v>
      </c>
      <c r="L22" s="7">
        <v>0.1543209877</v>
      </c>
      <c r="M22" s="7">
        <v>0.07534246575</v>
      </c>
      <c r="N22" s="7">
        <v>0.06338028169</v>
      </c>
      <c r="O22" s="7">
        <v>0.1020408163</v>
      </c>
      <c r="P22" s="7">
        <v>0.03684210526</v>
      </c>
      <c r="Q22" s="7">
        <v>0.04733727811</v>
      </c>
      <c r="R22" s="7">
        <v>0.03378378378</v>
      </c>
      <c r="S22" s="7">
        <v>0.05555555556</v>
      </c>
      <c r="T22" s="8">
        <f t="shared" si="2"/>
        <v>0.02177177178</v>
      </c>
      <c r="U22" s="8">
        <f t="shared" si="3"/>
        <v>-0.09876543214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5" t="str">
        <f>IFERROR(__xludf.DUMMYFUNCTION("""COMPUTED_VALUE"""),"Lê Minh Tuấn")</f>
        <v>Lê Minh Tuấn</v>
      </c>
      <c r="B23" s="6" t="s">
        <v>31</v>
      </c>
      <c r="C23" s="7">
        <v>0.05484247375</v>
      </c>
      <c r="D23" s="7">
        <v>0.0537870472</v>
      </c>
      <c r="E23" s="7">
        <v>0.05612244898</v>
      </c>
      <c r="F23" s="7">
        <v>0.07109004739</v>
      </c>
      <c r="G23" s="7">
        <v>0.05555555556</v>
      </c>
      <c r="H23" s="8">
        <f t="shared" si="1"/>
        <v>-0.01553449183</v>
      </c>
      <c r="I23" s="9"/>
      <c r="J23" s="5" t="str">
        <f>IFERROR(__xludf.DUMMYFUNCTION("""COMPUTED_VALUE"""),"Huỳnh Phương Duy")</f>
        <v>Huỳnh Phương Duy</v>
      </c>
      <c r="K23" s="5" t="s">
        <v>32</v>
      </c>
      <c r="L23" s="7">
        <v>0.07142857143</v>
      </c>
      <c r="M23" s="7">
        <v>0.1037735849</v>
      </c>
      <c r="N23" s="7">
        <v>0.03361344538</v>
      </c>
      <c r="O23" s="7">
        <v>0.03636363636</v>
      </c>
      <c r="P23" s="7">
        <v>0.07317073171</v>
      </c>
      <c r="Q23" s="7">
        <v>0.08849557522</v>
      </c>
      <c r="R23" s="7">
        <v>0.1090909091</v>
      </c>
      <c r="S23" s="7">
        <v>0.04901960784</v>
      </c>
      <c r="T23" s="8">
        <f t="shared" si="2"/>
        <v>-0.06007130126</v>
      </c>
      <c r="U23" s="8">
        <f t="shared" si="3"/>
        <v>-0.02240896359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5" t="str">
        <f>IFERROR(__xludf.DUMMYFUNCTION("""COMPUTED_VALUE"""),"Huỳnh Phương Duy")</f>
        <v>Huỳnh Phương Duy</v>
      </c>
      <c r="B24" s="6" t="s">
        <v>32</v>
      </c>
      <c r="C24" s="7">
        <v>0.06611570248</v>
      </c>
      <c r="D24" s="7">
        <v>0.07564102564</v>
      </c>
      <c r="E24" s="7">
        <v>0.07605985037</v>
      </c>
      <c r="F24" s="7">
        <v>0.07313997478</v>
      </c>
      <c r="G24" s="7">
        <v>0.04901960784</v>
      </c>
      <c r="H24" s="8">
        <f t="shared" si="1"/>
        <v>-0.02412036694</v>
      </c>
      <c r="I24" s="9"/>
      <c r="J24" s="5" t="str">
        <f>IFERROR(__xludf.DUMMYFUNCTION("""COMPUTED_VALUE"""),"Nguyễn Tuấn Anh")</f>
        <v>Nguyễn Tuấn Anh</v>
      </c>
      <c r="K24" s="5" t="s">
        <v>33</v>
      </c>
      <c r="L24" s="7">
        <v>0.08496732026</v>
      </c>
      <c r="M24" s="7">
        <v>0.08552631579</v>
      </c>
      <c r="N24" s="7">
        <v>0.05479452055</v>
      </c>
      <c r="O24" s="7">
        <v>0.1118881119</v>
      </c>
      <c r="P24" s="7">
        <v>0.08275862069</v>
      </c>
      <c r="Q24" s="7">
        <v>0.05161290323</v>
      </c>
      <c r="R24" s="7">
        <v>0.05780346821</v>
      </c>
      <c r="S24" s="7">
        <v>0.04081632653</v>
      </c>
      <c r="T24" s="8">
        <f t="shared" si="2"/>
        <v>-0.01698714168</v>
      </c>
      <c r="U24" s="8">
        <f t="shared" si="3"/>
        <v>-0.04415099373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5" t="str">
        <f>IFERROR(__xludf.DUMMYFUNCTION("""COMPUTED_VALUE"""),"Nguyễn Tuấn Anh")</f>
        <v>Nguyễn Tuấn Anh</v>
      </c>
      <c r="B25" s="6" t="s">
        <v>33</v>
      </c>
      <c r="C25" s="7">
        <v>0.07869884575</v>
      </c>
      <c r="D25" s="7">
        <v>0.07269503546</v>
      </c>
      <c r="E25" s="7">
        <v>0.07705934455</v>
      </c>
      <c r="F25" s="7">
        <v>0.07497656982</v>
      </c>
      <c r="G25" s="7">
        <v>0.04081632653</v>
      </c>
      <c r="H25" s="8">
        <f t="shared" si="1"/>
        <v>-0.03416024329</v>
      </c>
      <c r="I25" s="9"/>
      <c r="J25" s="5" t="str">
        <f>IFERROR(__xludf.DUMMYFUNCTION("""COMPUTED_VALUE"""),"Nguyễn Việt Tới")</f>
        <v>Nguyễn Việt Tới</v>
      </c>
      <c r="K25" s="5" t="s">
        <v>34</v>
      </c>
      <c r="L25" s="7">
        <v>0.05263157895</v>
      </c>
      <c r="M25" s="7">
        <v>0.1111111111</v>
      </c>
      <c r="N25" s="7">
        <v>0.09523809524</v>
      </c>
      <c r="O25" s="7">
        <v>0.09016393443</v>
      </c>
      <c r="P25" s="7">
        <v>0.1185185185</v>
      </c>
      <c r="Q25" s="7">
        <v>0.1048387097</v>
      </c>
      <c r="R25" s="7">
        <v>0.07894736842</v>
      </c>
      <c r="S25" s="7">
        <v>0.1711711712</v>
      </c>
      <c r="T25" s="8">
        <f t="shared" si="2"/>
        <v>0.09222380278</v>
      </c>
      <c r="U25" s="8">
        <f t="shared" si="3"/>
        <v>0.1185395923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5" t="str">
        <f>IFERROR(__xludf.DUMMYFUNCTION("""COMPUTED_VALUE"""),"Nguyễn Việt Tới")</f>
        <v>Nguyễn Việt Tới</v>
      </c>
      <c r="B26" s="6" t="s">
        <v>34</v>
      </c>
      <c r="C26" s="7">
        <v>0.1055045872</v>
      </c>
      <c r="D26" s="7">
        <v>0.076</v>
      </c>
      <c r="E26" s="7">
        <v>0.1189839572</v>
      </c>
      <c r="F26" s="7">
        <v>0.09333333333</v>
      </c>
      <c r="G26" s="7">
        <v>0.1711711712</v>
      </c>
      <c r="H26" s="8">
        <f t="shared" si="1"/>
        <v>0.07783783787</v>
      </c>
      <c r="I26" s="9"/>
      <c r="J26" s="5" t="str">
        <f>IFERROR(__xludf.DUMMYFUNCTION("""COMPUTED_VALUE"""),"Lê Minh Tuấn")</f>
        <v>Lê Minh Tuấn</v>
      </c>
      <c r="K26" s="5" t="s">
        <v>35</v>
      </c>
      <c r="L26" s="7">
        <v>0.0350877193</v>
      </c>
      <c r="M26" s="7">
        <v>0.06477732794</v>
      </c>
      <c r="N26" s="7">
        <v>0.05917159763</v>
      </c>
      <c r="O26" s="7">
        <v>0.04444444444</v>
      </c>
      <c r="P26" s="7">
        <v>0.07784431138</v>
      </c>
      <c r="Q26" s="7">
        <v>0.1037735849</v>
      </c>
      <c r="R26" s="7">
        <v>0.04545454545</v>
      </c>
      <c r="S26" s="7">
        <v>0.04977375566</v>
      </c>
      <c r="T26" s="8">
        <f t="shared" si="2"/>
        <v>0.00431921021</v>
      </c>
      <c r="U26" s="8">
        <f t="shared" si="3"/>
        <v>0.01468603636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5" t="str">
        <f>IFERROR(__xludf.DUMMYFUNCTION("""COMPUTED_VALUE"""),"Lê Minh Tuấn")</f>
        <v>Lê Minh Tuấn</v>
      </c>
      <c r="B27" s="6" t="s">
        <v>35</v>
      </c>
      <c r="C27" s="7">
        <v>0.1049069374</v>
      </c>
      <c r="D27" s="7">
        <v>0.08548268239</v>
      </c>
      <c r="E27" s="7">
        <v>0.08200290276</v>
      </c>
      <c r="F27" s="7">
        <v>0.06113843992</v>
      </c>
      <c r="G27" s="7">
        <v>0.04977375566</v>
      </c>
      <c r="H27" s="8">
        <f t="shared" si="1"/>
        <v>-0.01136468426</v>
      </c>
      <c r="I27" s="9"/>
      <c r="J27" s="5" t="str">
        <f>IFERROR(__xludf.DUMMYFUNCTION("""COMPUTED_VALUE"""),"Lâm Xuân Vinh")</f>
        <v>Lâm Xuân Vinh</v>
      </c>
      <c r="K27" s="5" t="s">
        <v>36</v>
      </c>
      <c r="L27" s="7">
        <v>0.06690140845</v>
      </c>
      <c r="M27" s="7">
        <v>0.1056910569</v>
      </c>
      <c r="N27" s="7">
        <v>0.06593406593</v>
      </c>
      <c r="O27" s="7">
        <v>0.08846153846</v>
      </c>
      <c r="P27" s="7">
        <v>0.08018867925</v>
      </c>
      <c r="Q27" s="7">
        <v>0.07692307692</v>
      </c>
      <c r="R27" s="7">
        <v>0.09387755102</v>
      </c>
      <c r="S27" s="7">
        <v>0.08026755853</v>
      </c>
      <c r="T27" s="8">
        <f t="shared" si="2"/>
        <v>-0.01360999249</v>
      </c>
      <c r="U27" s="8">
        <f t="shared" si="3"/>
        <v>0.01336615008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>
      <c r="A28" s="5" t="str">
        <f>IFERROR(__xludf.DUMMYFUNCTION("""COMPUTED_VALUE"""),"Lâm Xuân Vinh")</f>
        <v>Lâm Xuân Vinh</v>
      </c>
      <c r="B28" s="6" t="s">
        <v>36</v>
      </c>
      <c r="C28" s="7">
        <v>0.091529278</v>
      </c>
      <c r="D28" s="7">
        <v>0.09833506764</v>
      </c>
      <c r="E28" s="7">
        <v>0.08849104859</v>
      </c>
      <c r="F28" s="7">
        <v>0.08187772926</v>
      </c>
      <c r="G28" s="7">
        <v>0.08026755853</v>
      </c>
      <c r="H28" s="8">
        <f t="shared" si="1"/>
        <v>-0.00161017073</v>
      </c>
      <c r="I28" s="9"/>
      <c r="J28" s="5" t="str">
        <f>IFERROR(__xludf.DUMMYFUNCTION("""COMPUTED_VALUE"""),"Ngô Phan Mỹ Tú")</f>
        <v>Ngô Phan Mỹ Tú</v>
      </c>
      <c r="K28" s="5" t="s">
        <v>37</v>
      </c>
      <c r="L28" s="7">
        <v>0.07838983051</v>
      </c>
      <c r="M28" s="7">
        <v>0.06994818653</v>
      </c>
      <c r="N28" s="7">
        <v>0.04387990762</v>
      </c>
      <c r="O28" s="7">
        <v>0.05134474328</v>
      </c>
      <c r="P28" s="7">
        <v>0.06888361045</v>
      </c>
      <c r="Q28" s="7">
        <v>0.07070707071</v>
      </c>
      <c r="R28" s="7">
        <v>0.07754010695</v>
      </c>
      <c r="S28" s="7">
        <v>0.06621004566</v>
      </c>
      <c r="T28" s="8">
        <f t="shared" si="2"/>
        <v>-0.01133006129</v>
      </c>
      <c r="U28" s="8">
        <f t="shared" si="3"/>
        <v>-0.01217978485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5" t="str">
        <f>IFERROR(__xludf.DUMMYFUNCTION("""COMPUTED_VALUE"""),"Ngô Phan Mỹ Tú")</f>
        <v>Ngô Phan Mỹ Tú</v>
      </c>
      <c r="B29" s="6" t="s">
        <v>37</v>
      </c>
      <c r="C29" s="7">
        <v>0.06368011847</v>
      </c>
      <c r="D29" s="7">
        <v>0.06923601637</v>
      </c>
      <c r="E29" s="7">
        <v>0.06459705237</v>
      </c>
      <c r="F29" s="7">
        <v>0.06588628763</v>
      </c>
      <c r="G29" s="7">
        <v>0.06621004566</v>
      </c>
      <c r="H29" s="8">
        <f t="shared" si="1"/>
        <v>0.00032375803</v>
      </c>
      <c r="I29" s="9"/>
      <c r="J29" s="5" t="str">
        <f>IFERROR(__xludf.DUMMYFUNCTION("""COMPUTED_VALUE"""),"Lê Minh Tuấn")</f>
        <v>Lê Minh Tuấn</v>
      </c>
      <c r="K29" s="5" t="s">
        <v>38</v>
      </c>
      <c r="L29" s="7">
        <v>0.09737827715</v>
      </c>
      <c r="M29" s="7">
        <v>0.1360294118</v>
      </c>
      <c r="N29" s="7">
        <v>0.1157894737</v>
      </c>
      <c r="O29" s="7">
        <v>0.1289198606</v>
      </c>
      <c r="P29" s="7">
        <v>0.09797297297</v>
      </c>
      <c r="Q29" s="7">
        <v>0.1274509804</v>
      </c>
      <c r="R29" s="7">
        <v>0.1310861423</v>
      </c>
      <c r="S29" s="7">
        <v>0.07168458781</v>
      </c>
      <c r="T29" s="8">
        <f t="shared" si="2"/>
        <v>-0.05940155449</v>
      </c>
      <c r="U29" s="8">
        <f t="shared" si="3"/>
        <v>-0.02569368934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5" t="str">
        <f>IFERROR(__xludf.DUMMYFUNCTION("""COMPUTED_VALUE"""),"Lê Minh Tuấn")</f>
        <v>Lê Minh Tuấn</v>
      </c>
      <c r="B30" s="6" t="s">
        <v>38</v>
      </c>
      <c r="C30" s="7">
        <v>0.1257584115</v>
      </c>
      <c r="D30" s="7">
        <v>0.09672386895</v>
      </c>
      <c r="E30" s="7">
        <v>0.0999502735</v>
      </c>
      <c r="F30" s="7">
        <v>0.1191919192</v>
      </c>
      <c r="G30" s="7">
        <v>0.07168458781</v>
      </c>
      <c r="H30" s="8">
        <f t="shared" si="1"/>
        <v>-0.04750733139</v>
      </c>
      <c r="I30" s="9"/>
      <c r="J30" s="5" t="str">
        <f>IFERROR(__xludf.DUMMYFUNCTION("""COMPUTED_VALUE"""),"Nguyễn Thành Huy")</f>
        <v>Nguyễn Thành Huy</v>
      </c>
      <c r="K30" s="5" t="s">
        <v>39</v>
      </c>
      <c r="L30" s="7">
        <v>0.06565656566</v>
      </c>
      <c r="M30" s="7">
        <v>0.07926829268</v>
      </c>
      <c r="N30" s="7">
        <v>0.05625</v>
      </c>
      <c r="O30" s="7">
        <v>0.09497206704</v>
      </c>
      <c r="P30" s="7">
        <v>0.04761904762</v>
      </c>
      <c r="Q30" s="7">
        <v>0.08839779006</v>
      </c>
      <c r="R30" s="7">
        <v>0.08383233533</v>
      </c>
      <c r="S30" s="7">
        <v>0.05504587156</v>
      </c>
      <c r="T30" s="8">
        <f t="shared" si="2"/>
        <v>-0.02878646377</v>
      </c>
      <c r="U30" s="8">
        <f t="shared" si="3"/>
        <v>-0.0106106941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5" t="str">
        <f>IFERROR(__xludf.DUMMYFUNCTION("""COMPUTED_VALUE"""),"Nguyễn Thành Huy")</f>
        <v>Nguyễn Thành Huy</v>
      </c>
      <c r="B31" s="6" t="s">
        <v>39</v>
      </c>
      <c r="C31" s="7">
        <v>0.09898477157</v>
      </c>
      <c r="D31" s="7">
        <v>0.0852965069</v>
      </c>
      <c r="E31" s="7">
        <v>0.0844306739</v>
      </c>
      <c r="F31" s="7">
        <v>0.07350565428</v>
      </c>
      <c r="G31" s="7">
        <v>0.05504587156</v>
      </c>
      <c r="H31" s="8">
        <f t="shared" si="1"/>
        <v>-0.01845978272</v>
      </c>
      <c r="I31" s="9"/>
      <c r="J31" s="5" t="str">
        <f>IFERROR(__xludf.DUMMYFUNCTION("""COMPUTED_VALUE"""),"Nguyễn Thành Huy")</f>
        <v>Nguyễn Thành Huy</v>
      </c>
      <c r="K31" s="5" t="s">
        <v>40</v>
      </c>
      <c r="L31" s="7">
        <v>0.05194805195</v>
      </c>
      <c r="M31" s="7">
        <v>0.06334841629</v>
      </c>
      <c r="N31" s="7">
        <v>0.02870813397</v>
      </c>
      <c r="O31" s="7">
        <v>0.02092050209</v>
      </c>
      <c r="P31" s="7">
        <v>0.04132231405</v>
      </c>
      <c r="Q31" s="7">
        <v>0.04460966543</v>
      </c>
      <c r="R31" s="7">
        <v>0.05940594059</v>
      </c>
      <c r="S31" s="7">
        <v>0.0303030303</v>
      </c>
      <c r="T31" s="8">
        <f t="shared" si="2"/>
        <v>-0.02910291029</v>
      </c>
      <c r="U31" s="8">
        <f t="shared" si="3"/>
        <v>-0.02164502165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>
      <c r="A32" s="5" t="str">
        <f>IFERROR(__xludf.DUMMYFUNCTION("""COMPUTED_VALUE"""),"Nguyễn Thành Huy")</f>
        <v>Nguyễn Thành Huy</v>
      </c>
      <c r="B32" s="6" t="s">
        <v>40</v>
      </c>
      <c r="C32" s="7">
        <v>0.06550218341</v>
      </c>
      <c r="D32" s="7">
        <v>0.06245975531</v>
      </c>
      <c r="E32" s="7">
        <v>0.04886769964</v>
      </c>
      <c r="F32" s="7">
        <v>0.04401735896</v>
      </c>
      <c r="G32" s="7">
        <v>0.0303030303</v>
      </c>
      <c r="H32" s="8">
        <f t="shared" si="1"/>
        <v>-0.01371432866</v>
      </c>
      <c r="I32" s="9"/>
      <c r="J32" s="5" t="str">
        <f>IFERROR(__xludf.DUMMYFUNCTION("""COMPUTED_VALUE"""),"Nguyễn Thành Huy")</f>
        <v>Nguyễn Thành Huy</v>
      </c>
      <c r="K32" s="5" t="s">
        <v>41</v>
      </c>
      <c r="L32" s="7">
        <v>0.07731958763</v>
      </c>
      <c r="M32" s="7">
        <v>0.06626506024</v>
      </c>
      <c r="N32" s="7">
        <v>0.1222222222</v>
      </c>
      <c r="O32" s="7">
        <v>0.05594405594</v>
      </c>
      <c r="P32" s="7">
        <v>0.09090909091</v>
      </c>
      <c r="Q32" s="7">
        <v>0.06598984772</v>
      </c>
      <c r="R32" s="7">
        <v>0.07913669065</v>
      </c>
      <c r="S32" s="7">
        <v>0.1123595506</v>
      </c>
      <c r="T32" s="8">
        <f t="shared" si="2"/>
        <v>0.03322285995</v>
      </c>
      <c r="U32" s="8">
        <f t="shared" si="3"/>
        <v>0.03503996297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>
      <c r="A33" s="5" t="str">
        <f>IFERROR(__xludf.DUMMYFUNCTION("""COMPUTED_VALUE"""),"Nguyễn Thành Huy")</f>
        <v>Nguyễn Thành Huy</v>
      </c>
      <c r="B33" s="6" t="s">
        <v>41</v>
      </c>
      <c r="C33" s="7">
        <v>0.07643884892</v>
      </c>
      <c r="D33" s="7">
        <v>0.08587479936</v>
      </c>
      <c r="E33" s="7">
        <v>0.09203402939</v>
      </c>
      <c r="F33" s="7">
        <v>0.08013640239</v>
      </c>
      <c r="G33" s="7">
        <v>0.1123595506</v>
      </c>
      <c r="H33" s="8">
        <f t="shared" si="1"/>
        <v>0.03222314821</v>
      </c>
      <c r="I33" s="9"/>
      <c r="J33" s="5" t="str">
        <f>IFERROR(__xludf.DUMMYFUNCTION("""COMPUTED_VALUE"""),"Nguyễn Thành Huy")</f>
        <v>Nguyễn Thành Huy</v>
      </c>
      <c r="K33" s="5" t="s">
        <v>42</v>
      </c>
      <c r="L33" s="7">
        <v>0.1415525114</v>
      </c>
      <c r="M33" s="7">
        <v>0.08487084871</v>
      </c>
      <c r="N33" s="7">
        <v>0.08296943231</v>
      </c>
      <c r="O33" s="7">
        <v>0.1207729469</v>
      </c>
      <c r="P33" s="7">
        <v>0.08745247148</v>
      </c>
      <c r="Q33" s="7">
        <v>0.08444444444</v>
      </c>
      <c r="R33" s="7">
        <v>0.06439393939</v>
      </c>
      <c r="S33" s="7">
        <v>0.04471544715</v>
      </c>
      <c r="T33" s="8">
        <f t="shared" si="2"/>
        <v>-0.01967849224</v>
      </c>
      <c r="U33" s="8">
        <f t="shared" si="3"/>
        <v>-0.09683706425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>
      <c r="A34" s="5" t="str">
        <f>IFERROR(__xludf.DUMMYFUNCTION("""COMPUTED_VALUE"""),"Nguyễn Thành Huy")</f>
        <v>Nguyễn Thành Huy</v>
      </c>
      <c r="B34" s="6" t="s">
        <v>42</v>
      </c>
      <c r="C34" s="7">
        <v>0.08185053381</v>
      </c>
      <c r="D34" s="7">
        <v>0.1151515152</v>
      </c>
      <c r="E34" s="7">
        <v>0.08875</v>
      </c>
      <c r="F34" s="7">
        <v>0.09356376639</v>
      </c>
      <c r="G34" s="7">
        <v>0.04471544715</v>
      </c>
      <c r="H34" s="8">
        <f t="shared" si="1"/>
        <v>-0.04884831924</v>
      </c>
      <c r="I34" s="9"/>
      <c r="J34" s="5" t="str">
        <f>IFERROR(__xludf.DUMMYFUNCTION("""COMPUTED_VALUE"""),"Nguyễn Anh Tùng")</f>
        <v>Nguyễn Anh Tùng</v>
      </c>
      <c r="K34" s="5" t="s">
        <v>43</v>
      </c>
      <c r="L34" s="7">
        <v>0.04580152672</v>
      </c>
      <c r="M34" s="7">
        <v>0.08270676692</v>
      </c>
      <c r="N34" s="7">
        <v>0.08333333333</v>
      </c>
      <c r="O34" s="7">
        <v>0.07207207207</v>
      </c>
      <c r="P34" s="7">
        <v>0.08910891089</v>
      </c>
      <c r="Q34" s="7">
        <v>0.0625</v>
      </c>
      <c r="R34" s="7">
        <v>0.08108108108</v>
      </c>
      <c r="S34" s="7">
        <v>0.07751937984</v>
      </c>
      <c r="T34" s="8">
        <f t="shared" si="2"/>
        <v>-0.00356170124</v>
      </c>
      <c r="U34" s="8">
        <f t="shared" si="3"/>
        <v>0.03171785312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>
      <c r="A35" s="5" t="str">
        <f>IFERROR(__xludf.DUMMYFUNCTION("""COMPUTED_VALUE"""),"Nguyễn Anh Tùng")</f>
        <v>Nguyễn Anh Tùng</v>
      </c>
      <c r="B35" s="6" t="s">
        <v>43</v>
      </c>
      <c r="C35" s="7">
        <v>0.06691449814</v>
      </c>
      <c r="D35" s="7">
        <v>0.08797327394</v>
      </c>
      <c r="E35" s="7">
        <v>0.0703043022</v>
      </c>
      <c r="F35" s="7">
        <v>0.07326007326</v>
      </c>
      <c r="G35" s="7">
        <v>0.07751937984</v>
      </c>
      <c r="H35" s="8">
        <f t="shared" si="1"/>
        <v>0.00425930658</v>
      </c>
      <c r="I35" s="9"/>
      <c r="J35" s="5" t="str">
        <f>IFERROR(__xludf.DUMMYFUNCTION("""COMPUTED_VALUE"""),"Huỳnh Phương Duy")</f>
        <v>Huỳnh Phương Duy</v>
      </c>
      <c r="K35" s="5" t="s">
        <v>44</v>
      </c>
      <c r="L35" s="7">
        <v>0.072319202</v>
      </c>
      <c r="M35" s="7">
        <v>0.05740181269</v>
      </c>
      <c r="N35" s="7">
        <v>0.1120943953</v>
      </c>
      <c r="O35" s="7">
        <v>0.05389221557</v>
      </c>
      <c r="P35" s="7">
        <v>0.07079646018</v>
      </c>
      <c r="Q35" s="7">
        <v>0.08285714286</v>
      </c>
      <c r="R35" s="7">
        <v>0.09467455621</v>
      </c>
      <c r="S35" s="7">
        <v>0.09967845659</v>
      </c>
      <c r="T35" s="8">
        <f t="shared" si="2"/>
        <v>0.00500390038</v>
      </c>
      <c r="U35" s="8">
        <f t="shared" si="3"/>
        <v>0.02735925459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5" t="str">
        <f>IFERROR(__xludf.DUMMYFUNCTION("""COMPUTED_VALUE"""),"Huỳnh Phương Duy")</f>
        <v>Huỳnh Phương Duy</v>
      </c>
      <c r="B36" s="6" t="s">
        <v>44</v>
      </c>
      <c r="C36" s="7">
        <v>0.06606890042</v>
      </c>
      <c r="D36" s="7">
        <v>0.0824829932</v>
      </c>
      <c r="E36" s="7">
        <v>0.08319672131</v>
      </c>
      <c r="F36" s="7">
        <v>0.07771381579</v>
      </c>
      <c r="G36" s="7">
        <v>0.09967845659</v>
      </c>
      <c r="H36" s="8">
        <f t="shared" si="1"/>
        <v>0.0219646408</v>
      </c>
      <c r="I36" s="9"/>
      <c r="J36" s="5" t="str">
        <f>IFERROR(__xludf.DUMMYFUNCTION("""COMPUTED_VALUE"""),"Nguyễn Anh Tùng")</f>
        <v>Nguyễn Anh Tùng</v>
      </c>
      <c r="K36" s="5" t="s">
        <v>45</v>
      </c>
      <c r="L36" s="7">
        <v>0.09926470588</v>
      </c>
      <c r="M36" s="7">
        <v>0.12</v>
      </c>
      <c r="N36" s="7">
        <v>0.1147540984</v>
      </c>
      <c r="O36" s="7">
        <v>0.07612456747</v>
      </c>
      <c r="P36" s="7">
        <v>0.07194244604</v>
      </c>
      <c r="Q36" s="7">
        <v>0.1333333333</v>
      </c>
      <c r="R36" s="7">
        <v>0.1025641026</v>
      </c>
      <c r="S36" s="7">
        <v>0.1034482759</v>
      </c>
      <c r="T36" s="8">
        <f t="shared" si="2"/>
        <v>0.0008841733</v>
      </c>
      <c r="U36" s="8">
        <f t="shared" si="3"/>
        <v>0.00418357002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>
      <c r="A37" s="5" t="str">
        <f>IFERROR(__xludf.DUMMYFUNCTION("""COMPUTED_VALUE"""),"Nguyễn Anh Tùng")</f>
        <v>Nguyễn Anh Tùng</v>
      </c>
      <c r="B37" s="6" t="s">
        <v>45</v>
      </c>
      <c r="C37" s="7">
        <v>0.08887545345</v>
      </c>
      <c r="D37" s="7">
        <v>0.09071840587</v>
      </c>
      <c r="E37" s="7">
        <v>0.09734042553</v>
      </c>
      <c r="F37" s="7">
        <v>0.1015200869</v>
      </c>
      <c r="G37" s="7">
        <v>0.1034482759</v>
      </c>
      <c r="H37" s="8">
        <f t="shared" si="1"/>
        <v>0.001928189</v>
      </c>
      <c r="I37" s="9"/>
      <c r="J37" s="5" t="str">
        <f>IFERROR(__xludf.DUMMYFUNCTION("""COMPUTED_VALUE"""),"Lê Minh Tuấn")</f>
        <v>Lê Minh Tuấn</v>
      </c>
      <c r="K37" s="5" t="s">
        <v>46</v>
      </c>
      <c r="L37" s="7">
        <v>0.1017964072</v>
      </c>
      <c r="M37" s="7">
        <v>0.1076923077</v>
      </c>
      <c r="N37" s="7">
        <v>0.0585106383</v>
      </c>
      <c r="O37" s="7">
        <v>0.07142857143</v>
      </c>
      <c r="P37" s="7">
        <v>0.05128205128</v>
      </c>
      <c r="Q37" s="7">
        <v>0.07106598985</v>
      </c>
      <c r="R37" s="7">
        <v>0.0773480663</v>
      </c>
      <c r="S37" s="7">
        <v>0.0704845815</v>
      </c>
      <c r="T37" s="8">
        <f t="shared" si="2"/>
        <v>-0.0068634848</v>
      </c>
      <c r="U37" s="8">
        <f t="shared" si="3"/>
        <v>-0.0313118257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>
      <c r="A38" s="5" t="str">
        <f>IFERROR(__xludf.DUMMYFUNCTION("""COMPUTED_VALUE"""),"Lê Minh Tuấn")</f>
        <v>Lê Minh Tuấn</v>
      </c>
      <c r="B38" s="6" t="s">
        <v>46</v>
      </c>
      <c r="C38" s="7">
        <v>0.06197964847</v>
      </c>
      <c r="D38" s="7">
        <v>0.07203994294</v>
      </c>
      <c r="E38" s="7">
        <v>0.06468023256</v>
      </c>
      <c r="F38" s="7">
        <v>0.07584683358</v>
      </c>
      <c r="G38" s="7">
        <v>0.0704845815</v>
      </c>
      <c r="H38" s="8">
        <f t="shared" si="1"/>
        <v>-0.00536225208</v>
      </c>
      <c r="I38" s="9"/>
      <c r="J38" s="5" t="str">
        <f>IFERROR(__xludf.DUMMYFUNCTION("""COMPUTED_VALUE"""),"Huỳnh Phương Duy")</f>
        <v>Huỳnh Phương Duy</v>
      </c>
      <c r="K38" s="5" t="s">
        <v>47</v>
      </c>
      <c r="L38" s="7">
        <v>0.06172839506</v>
      </c>
      <c r="M38" s="7">
        <v>0.07058823529</v>
      </c>
      <c r="N38" s="7">
        <v>0.05194805195</v>
      </c>
      <c r="O38" s="7">
        <v>0.04255319149</v>
      </c>
      <c r="P38" s="7">
        <v>0.06417112299</v>
      </c>
      <c r="Q38" s="7">
        <v>0.05056179775</v>
      </c>
      <c r="R38" s="7">
        <v>0.09356725146</v>
      </c>
      <c r="S38" s="7">
        <v>0.06741573034</v>
      </c>
      <c r="T38" s="8">
        <f t="shared" si="2"/>
        <v>-0.02615152112</v>
      </c>
      <c r="U38" s="8">
        <f t="shared" si="3"/>
        <v>0.00568733528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5" t="str">
        <f>IFERROR(__xludf.DUMMYFUNCTION("""COMPUTED_VALUE"""),"Huỳnh Phương Duy")</f>
        <v>Huỳnh Phương Duy</v>
      </c>
      <c r="B39" s="6" t="s">
        <v>47</v>
      </c>
      <c r="C39" s="7">
        <v>0.05602006689</v>
      </c>
      <c r="D39" s="7">
        <v>0.06953892668</v>
      </c>
      <c r="E39" s="7">
        <v>0.07098283931</v>
      </c>
      <c r="F39" s="7">
        <v>0.06198347107</v>
      </c>
      <c r="G39" s="7">
        <v>0.06741573034</v>
      </c>
      <c r="H39" s="8">
        <f t="shared" si="1"/>
        <v>0.00543225927</v>
      </c>
      <c r="I39" s="9"/>
      <c r="J39" s="5" t="str">
        <f>IFERROR(__xludf.DUMMYFUNCTION("""COMPUTED_VALUE"""),"Nguyễn Việt Tới")</f>
        <v>Nguyễn Việt Tới</v>
      </c>
      <c r="K39" s="5" t="s">
        <v>48</v>
      </c>
      <c r="L39" s="7">
        <v>0.09004739336</v>
      </c>
      <c r="M39" s="7">
        <v>0.05761316872</v>
      </c>
      <c r="N39" s="7">
        <v>0.08300395257</v>
      </c>
      <c r="O39" s="7">
        <v>0.1241830065</v>
      </c>
      <c r="P39" s="7">
        <v>0.06435643564</v>
      </c>
      <c r="Q39" s="7">
        <v>0.08558558559</v>
      </c>
      <c r="R39" s="7">
        <v>0.07766990291</v>
      </c>
      <c r="S39" s="7">
        <v>0.07929515419</v>
      </c>
      <c r="T39" s="8">
        <f t="shared" si="2"/>
        <v>0.00162525128</v>
      </c>
      <c r="U39" s="8">
        <f t="shared" si="3"/>
        <v>-0.01075223917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>
      <c r="A40" s="5" t="str">
        <f>IFERROR(__xludf.DUMMYFUNCTION("""COMPUTED_VALUE"""),"Nguyễn Việt Tới")</f>
        <v>Nguyễn Việt Tới</v>
      </c>
      <c r="B40" s="6" t="s">
        <v>48</v>
      </c>
      <c r="C40" s="7">
        <v>0.1024911032</v>
      </c>
      <c r="D40" s="7">
        <v>0.08770806658</v>
      </c>
      <c r="E40" s="7">
        <v>0.08800521512</v>
      </c>
      <c r="F40" s="7">
        <v>0.08120805369</v>
      </c>
      <c r="G40" s="7">
        <v>0.07929515419</v>
      </c>
      <c r="H40" s="8">
        <f t="shared" si="1"/>
        <v>-0.0019128995</v>
      </c>
      <c r="I40" s="9"/>
      <c r="J40" s="5" t="str">
        <f>IFERROR(__xludf.DUMMYFUNCTION("""COMPUTED_VALUE"""),"Lâm Xuân Vinh")</f>
        <v>Lâm Xuân Vinh</v>
      </c>
      <c r="K40" s="5" t="s">
        <v>49</v>
      </c>
      <c r="L40" s="7">
        <v>0.08695652174</v>
      </c>
      <c r="M40" s="7">
        <v>0.06081081081</v>
      </c>
      <c r="N40" s="7">
        <v>0.07692307692</v>
      </c>
      <c r="O40" s="7">
        <v>0.07741935484</v>
      </c>
      <c r="P40" s="7">
        <v>0.07284768212</v>
      </c>
      <c r="Q40" s="7">
        <v>0.08130081301</v>
      </c>
      <c r="R40" s="7">
        <v>0.03205128205</v>
      </c>
      <c r="S40" s="7">
        <v>0.08064516129</v>
      </c>
      <c r="T40" s="8">
        <f t="shared" si="2"/>
        <v>0.04859387924</v>
      </c>
      <c r="U40" s="8">
        <f t="shared" si="3"/>
        <v>-0.00631136045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>
      <c r="A41" s="5" t="str">
        <f>IFERROR(__xludf.DUMMYFUNCTION("""COMPUTED_VALUE"""),"Lâm Xuân Vinh")</f>
        <v>Lâm Xuân Vinh</v>
      </c>
      <c r="B41" s="6" t="s">
        <v>49</v>
      </c>
      <c r="C41" s="7">
        <v>0.06616862327</v>
      </c>
      <c r="D41" s="7">
        <v>0.07394048693</v>
      </c>
      <c r="E41" s="7">
        <v>0.08796764408</v>
      </c>
      <c r="F41" s="7">
        <v>0.06963249516</v>
      </c>
      <c r="G41" s="7">
        <v>0.08064516129</v>
      </c>
      <c r="H41" s="8">
        <f t="shared" si="1"/>
        <v>0.01101266613</v>
      </c>
      <c r="I41" s="9"/>
      <c r="J41" s="5" t="str">
        <f>IFERROR(__xludf.DUMMYFUNCTION("""COMPUTED_VALUE"""),"Nguyễn Tuấn Anh")</f>
        <v>Nguyễn Tuấn Anh</v>
      </c>
      <c r="K41" s="5" t="s">
        <v>50</v>
      </c>
      <c r="L41" s="7">
        <v>0.0782122905</v>
      </c>
      <c r="M41" s="7">
        <v>0.1276595745</v>
      </c>
      <c r="N41" s="7">
        <v>0.08510638298</v>
      </c>
      <c r="O41" s="7">
        <v>0.1</v>
      </c>
      <c r="P41" s="7">
        <v>0.1073825503</v>
      </c>
      <c r="Q41" s="7">
        <v>0.09941520468</v>
      </c>
      <c r="R41" s="7">
        <v>0.1043478261</v>
      </c>
      <c r="S41" s="7">
        <v>0.08139534884</v>
      </c>
      <c r="T41" s="8">
        <f t="shared" si="2"/>
        <v>-0.02295247726</v>
      </c>
      <c r="U41" s="8">
        <f t="shared" si="3"/>
        <v>0.00318305834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>
      <c r="A42" s="5" t="str">
        <f>IFERROR(__xludf.DUMMYFUNCTION("""COMPUTED_VALUE"""),"Nguyễn Tuấn Anh")</f>
        <v>Nguyễn Tuấn Anh</v>
      </c>
      <c r="B42" s="6" t="s">
        <v>50</v>
      </c>
      <c r="C42" s="7">
        <v>0.103960396</v>
      </c>
      <c r="D42" s="7">
        <v>0.108033241</v>
      </c>
      <c r="E42" s="7">
        <v>0.1009657594</v>
      </c>
      <c r="F42" s="7">
        <v>0.09940944882</v>
      </c>
      <c r="G42" s="7">
        <v>0.08139534884</v>
      </c>
      <c r="H42" s="8">
        <f t="shared" si="1"/>
        <v>-0.01801409998</v>
      </c>
      <c r="I42" s="9"/>
      <c r="J42" s="5" t="str">
        <f>IFERROR(__xludf.DUMMYFUNCTION("""COMPUTED_VALUE"""),"Ngô Phan Mỹ Tú")</f>
        <v>Ngô Phan Mỹ Tú</v>
      </c>
      <c r="K42" s="5" t="s">
        <v>51</v>
      </c>
      <c r="L42" s="7">
        <v>0.08641975309</v>
      </c>
      <c r="M42" s="7">
        <v>0.06451612903</v>
      </c>
      <c r="N42" s="7">
        <v>0.07589285714</v>
      </c>
      <c r="O42" s="7">
        <v>0.06140350877</v>
      </c>
      <c r="P42" s="7">
        <v>0.05357142857</v>
      </c>
      <c r="Q42" s="7">
        <v>0.04868913858</v>
      </c>
      <c r="R42" s="7">
        <v>0.1025641026</v>
      </c>
      <c r="S42" s="7">
        <v>0.07692307692</v>
      </c>
      <c r="T42" s="8">
        <f t="shared" si="2"/>
        <v>-0.02564102568</v>
      </c>
      <c r="U42" s="8">
        <f t="shared" si="3"/>
        <v>-0.00949667617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>
      <c r="A43" s="5" t="str">
        <f>IFERROR(__xludf.DUMMYFUNCTION("""COMPUTED_VALUE"""),"Ngô Phan Mỹ Tú")</f>
        <v>Ngô Phan Mỹ Tú</v>
      </c>
      <c r="B43" s="6" t="s">
        <v>51</v>
      </c>
      <c r="C43" s="7">
        <v>0.07939508507</v>
      </c>
      <c r="D43" s="7">
        <v>0.08718244804</v>
      </c>
      <c r="E43" s="7">
        <v>0.05861868833</v>
      </c>
      <c r="F43" s="7">
        <v>0.06960556845</v>
      </c>
      <c r="G43" s="7">
        <v>0.07692307692</v>
      </c>
      <c r="H43" s="8">
        <f t="shared" si="1"/>
        <v>0.00731750847</v>
      </c>
      <c r="I43" s="9"/>
      <c r="J43" s="5" t="str">
        <f>IFERROR(__xludf.DUMMYFUNCTION("""COMPUTED_VALUE"""),"Lê Minh Tuấn")</f>
        <v>Lê Minh Tuấn</v>
      </c>
      <c r="K43" s="5" t="s">
        <v>52</v>
      </c>
      <c r="L43" s="7">
        <v>0.06060606061</v>
      </c>
      <c r="M43" s="7">
        <v>0.08196721311</v>
      </c>
      <c r="N43" s="7">
        <v>0.1117021277</v>
      </c>
      <c r="O43" s="7">
        <v>0.07359307359</v>
      </c>
      <c r="P43" s="7">
        <v>0.08403361345</v>
      </c>
      <c r="Q43" s="7">
        <v>0.09202453988</v>
      </c>
      <c r="R43" s="7">
        <v>0.0826446281</v>
      </c>
      <c r="S43" s="7">
        <v>0.08411214953</v>
      </c>
      <c r="T43" s="8">
        <f t="shared" si="2"/>
        <v>0.00146752143</v>
      </c>
      <c r="U43" s="8">
        <f t="shared" si="3"/>
        <v>0.02350608892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>
      <c r="A44" s="5" t="str">
        <f>IFERROR(__xludf.DUMMYFUNCTION("""COMPUTED_VALUE"""),"Lê Minh Tuấn")</f>
        <v>Lê Minh Tuấn</v>
      </c>
      <c r="B44" s="6" t="s">
        <v>52</v>
      </c>
      <c r="C44" s="7">
        <v>0.08649468892</v>
      </c>
      <c r="D44" s="7">
        <v>0.07276657061</v>
      </c>
      <c r="E44" s="7">
        <v>0.07749077491</v>
      </c>
      <c r="F44" s="7">
        <v>0.08311170213</v>
      </c>
      <c r="G44" s="7">
        <v>0.08411214953</v>
      </c>
      <c r="H44" s="8">
        <f t="shared" si="1"/>
        <v>0.0010004474</v>
      </c>
      <c r="I44" s="9"/>
      <c r="J44" s="5" t="str">
        <f>IFERROR(__xludf.DUMMYFUNCTION("""COMPUTED_VALUE"""),"Nguyễn Anh Tùng")</f>
        <v>Nguyễn Anh Tùng</v>
      </c>
      <c r="K44" s="5" t="s">
        <v>53</v>
      </c>
      <c r="L44" s="7">
        <v>0.1256410256</v>
      </c>
      <c r="M44" s="7">
        <v>0.08026755853</v>
      </c>
      <c r="N44" s="7">
        <v>0.09219858156</v>
      </c>
      <c r="O44" s="7">
        <v>0.09333333333</v>
      </c>
      <c r="P44" s="7">
        <v>0.07766990291</v>
      </c>
      <c r="Q44" s="7">
        <v>0.1390977444</v>
      </c>
      <c r="R44" s="7">
        <v>0.1071428571</v>
      </c>
      <c r="S44" s="7">
        <v>0.06148867314</v>
      </c>
      <c r="T44" s="8">
        <f t="shared" si="2"/>
        <v>-0.04565418396</v>
      </c>
      <c r="U44" s="8">
        <f t="shared" si="3"/>
        <v>-0.06415235246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>
      <c r="A45" s="5" t="str">
        <f>IFERROR(__xludf.DUMMYFUNCTION("""COMPUTED_VALUE"""),"Nguyễn Anh Tùng")</f>
        <v>Nguyễn Anh Tùng</v>
      </c>
      <c r="B45" s="6" t="s">
        <v>53</v>
      </c>
      <c r="C45" s="7">
        <v>0.09461077844</v>
      </c>
      <c r="D45" s="7">
        <v>0.08118811881</v>
      </c>
      <c r="E45" s="7">
        <v>0.0913001912</v>
      </c>
      <c r="F45" s="7">
        <v>0.1023506366</v>
      </c>
      <c r="G45" s="7">
        <v>0.06148867314</v>
      </c>
      <c r="H45" s="8">
        <f t="shared" si="1"/>
        <v>-0.04086196346</v>
      </c>
      <c r="I45" s="9"/>
      <c r="J45" s="5" t="str">
        <f>IFERROR(__xludf.DUMMYFUNCTION("""COMPUTED_VALUE"""),"Huỳnh Phương Duy")</f>
        <v>Huỳnh Phương Duy</v>
      </c>
      <c r="K45" s="5" t="s">
        <v>54</v>
      </c>
      <c r="L45" s="7">
        <v>0.1267605634</v>
      </c>
      <c r="M45" s="7">
        <v>0.07777777778</v>
      </c>
      <c r="N45" s="7">
        <v>0.08208955224</v>
      </c>
      <c r="O45" s="7">
        <v>0.02714932127</v>
      </c>
      <c r="P45" s="7">
        <v>0.01260504202</v>
      </c>
      <c r="Q45" s="7">
        <v>0.1150442478</v>
      </c>
      <c r="R45" s="7">
        <v>0.06451612903</v>
      </c>
      <c r="S45" s="7">
        <v>0.08407079646</v>
      </c>
      <c r="T45" s="8">
        <f t="shared" si="2"/>
        <v>0.01955466743</v>
      </c>
      <c r="U45" s="8">
        <f t="shared" si="3"/>
        <v>-0.04268976694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>
      <c r="A46" s="5" t="str">
        <f>IFERROR(__xludf.DUMMYFUNCTION("""COMPUTED_VALUE"""),"Huỳnh Phương Duy")</f>
        <v>Huỳnh Phương Duy</v>
      </c>
      <c r="B46" s="6" t="s">
        <v>54</v>
      </c>
      <c r="C46" s="7">
        <v>0.03914988814</v>
      </c>
      <c r="D46" s="7">
        <v>0.05283381364</v>
      </c>
      <c r="E46" s="7">
        <v>0.05202312139</v>
      </c>
      <c r="F46" s="7">
        <v>0.05811808118</v>
      </c>
      <c r="G46" s="7">
        <v>0.08407079646</v>
      </c>
      <c r="H46" s="8">
        <f t="shared" si="1"/>
        <v>0.02595271528</v>
      </c>
      <c r="I46" s="9"/>
      <c r="J46" s="5" t="str">
        <f>IFERROR(__xludf.DUMMYFUNCTION("""COMPUTED_VALUE"""),"Huỳnh Phương Duy")</f>
        <v>Huỳnh Phương Duy</v>
      </c>
      <c r="K46" s="5" t="s">
        <v>55</v>
      </c>
      <c r="L46" s="7">
        <v>0.09589041096</v>
      </c>
      <c r="M46" s="7">
        <v>0.105</v>
      </c>
      <c r="N46" s="7">
        <v>0.07929515419</v>
      </c>
      <c r="O46" s="7">
        <v>0.0985915493</v>
      </c>
      <c r="P46" s="7">
        <v>0.08040201005</v>
      </c>
      <c r="Q46" s="7">
        <v>0.08796296296</v>
      </c>
      <c r="R46" s="7">
        <v>0.08602150538</v>
      </c>
      <c r="S46" s="7">
        <v>0.06912442396</v>
      </c>
      <c r="T46" s="8">
        <f t="shared" si="2"/>
        <v>-0.01689708142</v>
      </c>
      <c r="U46" s="8">
        <f t="shared" si="3"/>
        <v>-0.026765987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>
      <c r="A47" s="5" t="str">
        <f>IFERROR(__xludf.DUMMYFUNCTION("""COMPUTED_VALUE"""),"Huỳnh Phương Duy")</f>
        <v>Huỳnh Phương Duy</v>
      </c>
      <c r="B47" s="6" t="s">
        <v>55</v>
      </c>
      <c r="C47" s="7">
        <v>0.07259259259</v>
      </c>
      <c r="D47" s="7">
        <v>0.08322056834</v>
      </c>
      <c r="E47" s="7">
        <v>0.06098406098</v>
      </c>
      <c r="F47" s="7">
        <v>0.0904109589</v>
      </c>
      <c r="G47" s="7">
        <v>0.06912442396</v>
      </c>
      <c r="H47" s="8">
        <f t="shared" si="1"/>
        <v>-0.02128653494</v>
      </c>
      <c r="I47" s="9"/>
      <c r="J47" s="5" t="str">
        <f>IFERROR(__xludf.DUMMYFUNCTION("""COMPUTED_VALUE"""),"Lâm Xuân Vinh")</f>
        <v>Lâm Xuân Vinh</v>
      </c>
      <c r="K47" s="5" t="s">
        <v>56</v>
      </c>
      <c r="L47" s="7">
        <v>0.03097345133</v>
      </c>
      <c r="M47" s="7">
        <v>0.07722007722</v>
      </c>
      <c r="N47" s="7">
        <v>0.08606557377</v>
      </c>
      <c r="O47" s="7">
        <v>0.06148867314</v>
      </c>
      <c r="P47" s="7">
        <v>0.08394160584</v>
      </c>
      <c r="Q47" s="7">
        <v>0.02575107296</v>
      </c>
      <c r="R47" s="7">
        <v>0.07623318386</v>
      </c>
      <c r="S47" s="7">
        <v>0.04255319149</v>
      </c>
      <c r="T47" s="8">
        <f t="shared" si="2"/>
        <v>-0.03367999237</v>
      </c>
      <c r="U47" s="8">
        <f t="shared" si="3"/>
        <v>0.01157974016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>
      <c r="A48" s="5" t="str">
        <f>IFERROR(__xludf.DUMMYFUNCTION("""COMPUTED_VALUE"""),"Lâm Xuân Vinh")</f>
        <v>Lâm Xuân Vinh</v>
      </c>
      <c r="B48" s="6" t="s">
        <v>56</v>
      </c>
      <c r="C48" s="7">
        <v>0.05801825293</v>
      </c>
      <c r="D48" s="7">
        <v>0.07113462669</v>
      </c>
      <c r="E48" s="7">
        <v>0.07077100115</v>
      </c>
      <c r="F48" s="7">
        <v>0.06391402715</v>
      </c>
      <c r="G48" s="7">
        <v>0.04255319149</v>
      </c>
      <c r="H48" s="8">
        <f t="shared" si="1"/>
        <v>-0.02136083566</v>
      </c>
      <c r="I48" s="9"/>
      <c r="J48" s="5" t="str">
        <f>IFERROR(__xludf.DUMMYFUNCTION("""COMPUTED_VALUE"""),"Lý Quài Nhân")</f>
        <v>Lý Quài Nhân</v>
      </c>
      <c r="K48" s="5" t="s">
        <v>57</v>
      </c>
      <c r="L48" s="7">
        <v>0.1583333333</v>
      </c>
      <c r="M48" s="7">
        <v>0.08917197452</v>
      </c>
      <c r="N48" s="7">
        <v>0.05882352941</v>
      </c>
      <c r="O48" s="7">
        <v>0.125</v>
      </c>
      <c r="P48" s="7">
        <v>0.09649122807</v>
      </c>
      <c r="Q48" s="7">
        <v>0.07100591716</v>
      </c>
      <c r="R48" s="7">
        <v>0.08403361345</v>
      </c>
      <c r="S48" s="7">
        <v>0.1397058824</v>
      </c>
      <c r="T48" s="8">
        <f t="shared" si="2"/>
        <v>0.05567226895</v>
      </c>
      <c r="U48" s="8">
        <f t="shared" si="3"/>
        <v>-0.0186274509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>
      <c r="A49" s="5" t="str">
        <f>IFERROR(__xludf.DUMMYFUNCTION("""COMPUTED_VALUE"""),"Lý Quài Nhân")</f>
        <v>Lý Quài Nhân</v>
      </c>
      <c r="B49" s="6" t="s">
        <v>57</v>
      </c>
      <c r="C49" s="7">
        <v>0.07244655582</v>
      </c>
      <c r="D49" s="7">
        <v>0.08644610459</v>
      </c>
      <c r="E49" s="7">
        <v>0.07683741648</v>
      </c>
      <c r="F49" s="7">
        <v>0.09518716578</v>
      </c>
      <c r="G49" s="7">
        <v>0.1397058824</v>
      </c>
      <c r="H49" s="8">
        <f t="shared" si="1"/>
        <v>0.04451871662</v>
      </c>
      <c r="I49" s="9"/>
      <c r="J49" s="5" t="str">
        <f>IFERROR(__xludf.DUMMYFUNCTION("""COMPUTED_VALUE"""),"Đoàn Công Tín")</f>
        <v>Đoàn Công Tín</v>
      </c>
      <c r="K49" s="5" t="s">
        <v>58</v>
      </c>
      <c r="L49" s="7">
        <v>0.1194539249</v>
      </c>
      <c r="M49" s="7">
        <v>0.1517509728</v>
      </c>
      <c r="N49" s="7">
        <v>0.1176470588</v>
      </c>
      <c r="O49" s="7">
        <v>0.1343283582</v>
      </c>
      <c r="P49" s="7">
        <v>0.1649122807</v>
      </c>
      <c r="Q49" s="7">
        <v>0.1766666667</v>
      </c>
      <c r="R49" s="7">
        <v>0.1635514019</v>
      </c>
      <c r="S49" s="7">
        <v>0.1275167785</v>
      </c>
      <c r="T49" s="8">
        <f t="shared" si="2"/>
        <v>-0.0360346234</v>
      </c>
      <c r="U49" s="8">
        <f t="shared" si="3"/>
        <v>0.0080628536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>
      <c r="A50" s="5" t="str">
        <f>IFERROR(__xludf.DUMMYFUNCTION("""COMPUTED_VALUE"""),"Đoàn Công Tín")</f>
        <v>Đoàn Công Tín</v>
      </c>
      <c r="B50" s="6" t="s">
        <v>58</v>
      </c>
      <c r="C50" s="7">
        <v>0.1614000972</v>
      </c>
      <c r="D50" s="7">
        <v>0.162978953</v>
      </c>
      <c r="E50" s="7">
        <v>0.1422505308</v>
      </c>
      <c r="F50" s="7">
        <v>0.1463798531</v>
      </c>
      <c r="G50" s="7">
        <v>0.1275167785</v>
      </c>
      <c r="H50" s="8">
        <f t="shared" si="1"/>
        <v>-0.0188630746</v>
      </c>
      <c r="I50" s="9"/>
      <c r="J50" s="5" t="str">
        <f>IFERROR(__xludf.DUMMYFUNCTION("""COMPUTED_VALUE"""),"Nguyễn Tuấn Anh")</f>
        <v>Nguyễn Tuấn Anh</v>
      </c>
      <c r="K50" s="5" t="s">
        <v>59</v>
      </c>
      <c r="L50" s="7"/>
      <c r="M50" s="7"/>
      <c r="N50" s="7">
        <v>0.04761904762</v>
      </c>
      <c r="O50" s="7">
        <v>0.02325581395</v>
      </c>
      <c r="P50" s="7">
        <v>0.05660377358</v>
      </c>
      <c r="Q50" s="7">
        <v>0.01219512195</v>
      </c>
      <c r="R50" s="7">
        <v>0.03007518797</v>
      </c>
      <c r="S50" s="7">
        <v>0.02898550725</v>
      </c>
      <c r="T50" s="8">
        <f t="shared" si="2"/>
        <v>-0.00108968072</v>
      </c>
      <c r="U50" s="8">
        <f t="shared" si="3"/>
        <v>0.02898550725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>
      <c r="A51" s="5" t="str">
        <f>IFERROR(__xludf.DUMMYFUNCTION("""COMPUTED_VALUE"""),"Nguyễn Tuấn Anh")</f>
        <v>Nguyễn Tuấn Anh</v>
      </c>
      <c r="B51" s="6" t="s">
        <v>59</v>
      </c>
      <c r="C51" s="7"/>
      <c r="D51" s="7"/>
      <c r="E51" s="7"/>
      <c r="F51" s="7">
        <v>0.03012048193</v>
      </c>
      <c r="G51" s="7">
        <v>0.02898550725</v>
      </c>
      <c r="H51" s="8">
        <f t="shared" si="1"/>
        <v>-0.00113497468</v>
      </c>
      <c r="I51" s="9"/>
      <c r="J51" s="5" t="str">
        <f>IFERROR(__xludf.DUMMYFUNCTION("""COMPUTED_VALUE"""),"Nguyễn Tuấn Anh")</f>
        <v>Nguyễn Tuấn Anh</v>
      </c>
      <c r="K51" s="5" t="s">
        <v>60</v>
      </c>
      <c r="L51" s="7">
        <v>0.08</v>
      </c>
      <c r="M51" s="7">
        <v>0.09166666667</v>
      </c>
      <c r="N51" s="7">
        <v>0.06976744186</v>
      </c>
      <c r="O51" s="7">
        <v>0.08920187793</v>
      </c>
      <c r="P51" s="7">
        <v>0.05802047782</v>
      </c>
      <c r="Q51" s="7">
        <v>0.09803921569</v>
      </c>
      <c r="R51" s="7">
        <v>0.07172995781</v>
      </c>
      <c r="S51" s="7">
        <v>0.05681818182</v>
      </c>
      <c r="T51" s="8">
        <f t="shared" si="2"/>
        <v>-0.01491177599</v>
      </c>
      <c r="U51" s="8">
        <f t="shared" si="3"/>
        <v>-0.02318181818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>
      <c r="A52" s="5" t="str">
        <f>IFERROR(__xludf.DUMMYFUNCTION("""COMPUTED_VALUE"""),"Nguyễn Tuấn Anh")</f>
        <v>Nguyễn Tuấn Anh</v>
      </c>
      <c r="B52" s="6" t="s">
        <v>60</v>
      </c>
      <c r="C52" s="7">
        <v>0.09112426036</v>
      </c>
      <c r="D52" s="7">
        <v>0.07927155865</v>
      </c>
      <c r="E52" s="7">
        <v>0.07571801567</v>
      </c>
      <c r="F52" s="7">
        <v>0.0790513834</v>
      </c>
      <c r="G52" s="7">
        <v>0.05681818182</v>
      </c>
      <c r="H52" s="8">
        <f t="shared" si="1"/>
        <v>-0.02223320158</v>
      </c>
      <c r="I52" s="9"/>
      <c r="J52" s="5" t="str">
        <f>IFERROR(__xludf.DUMMYFUNCTION("""COMPUTED_VALUE"""),"Lý Quài Nhân")</f>
        <v>Lý Quài Nhân</v>
      </c>
      <c r="K52" s="5" t="s">
        <v>61</v>
      </c>
      <c r="L52" s="7">
        <v>0.07407407407</v>
      </c>
      <c r="M52" s="7">
        <v>0.2018348624</v>
      </c>
      <c r="N52" s="7">
        <v>0.12</v>
      </c>
      <c r="O52" s="7">
        <v>0.1869158879</v>
      </c>
      <c r="P52" s="7">
        <v>0.05714285714</v>
      </c>
      <c r="Q52" s="7">
        <v>0.1885245902</v>
      </c>
      <c r="R52" s="7">
        <v>0.07438016529</v>
      </c>
      <c r="S52" s="7">
        <v>0.1176470588</v>
      </c>
      <c r="T52" s="8">
        <f t="shared" si="2"/>
        <v>0.04326689351</v>
      </c>
      <c r="U52" s="8">
        <f t="shared" si="3"/>
        <v>0.04357298473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>
      <c r="A53" s="5" t="str">
        <f>IFERROR(__xludf.DUMMYFUNCTION("""COMPUTED_VALUE"""),"Lý Quài Nhân")</f>
        <v>Lý Quài Nhân</v>
      </c>
      <c r="B53" s="6" t="s">
        <v>61</v>
      </c>
      <c r="C53" s="7">
        <v>0.1282722513</v>
      </c>
      <c r="D53" s="7">
        <v>0.1385902031</v>
      </c>
      <c r="E53" s="7">
        <v>0.1407407407</v>
      </c>
      <c r="F53" s="7">
        <v>0.121577218</v>
      </c>
      <c r="G53" s="7">
        <v>0.1176470588</v>
      </c>
      <c r="H53" s="8">
        <f t="shared" si="1"/>
        <v>-0.0039301592</v>
      </c>
      <c r="I53" s="9"/>
      <c r="J53" s="5" t="str">
        <f>IFERROR(__xludf.DUMMYFUNCTION("""COMPUTED_VALUE"""),"Huỳnh Phương Duy")</f>
        <v>Huỳnh Phương Duy</v>
      </c>
      <c r="K53" s="5" t="s">
        <v>62</v>
      </c>
      <c r="L53" s="7">
        <v>0.0404040404</v>
      </c>
      <c r="M53" s="7">
        <v>0.09322033898</v>
      </c>
      <c r="N53" s="7">
        <v>0.0487804878</v>
      </c>
      <c r="O53" s="7">
        <v>0.04901960784</v>
      </c>
      <c r="P53" s="7">
        <v>0.08130081301</v>
      </c>
      <c r="Q53" s="7">
        <v>0.06779661017</v>
      </c>
      <c r="R53" s="7">
        <v>0.0396039604</v>
      </c>
      <c r="S53" s="7">
        <v>0.02564102564</v>
      </c>
      <c r="T53" s="8">
        <f t="shared" si="2"/>
        <v>-0.01396293476</v>
      </c>
      <c r="U53" s="8">
        <f t="shared" si="3"/>
        <v>-0.01476301476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>
      <c r="A54" s="5" t="str">
        <f>IFERROR(__xludf.DUMMYFUNCTION("""COMPUTED_VALUE"""),"Huỳnh Phương Duy")</f>
        <v>Huỳnh Phương Duy</v>
      </c>
      <c r="B54" s="6" t="s">
        <v>62</v>
      </c>
      <c r="C54" s="7">
        <v>0.06216931217</v>
      </c>
      <c r="D54" s="7">
        <v>0.06585365854</v>
      </c>
      <c r="E54" s="7">
        <v>0.06165228113</v>
      </c>
      <c r="F54" s="7">
        <v>0.0612244898</v>
      </c>
      <c r="G54" s="7">
        <v>0.02564102564</v>
      </c>
      <c r="H54" s="8">
        <f t="shared" si="1"/>
        <v>-0.03558346416</v>
      </c>
      <c r="I54" s="9"/>
      <c r="J54" s="5" t="str">
        <f>IFERROR(__xludf.DUMMYFUNCTION("""COMPUTED_VALUE"""),"Lâm Xuân Vinh")</f>
        <v>Lâm Xuân Vinh</v>
      </c>
      <c r="K54" s="5" t="s">
        <v>63</v>
      </c>
      <c r="L54" s="7">
        <v>0.09848484848</v>
      </c>
      <c r="M54" s="7">
        <v>0.1052631579</v>
      </c>
      <c r="N54" s="7">
        <v>0.09302325581</v>
      </c>
      <c r="O54" s="7">
        <v>0.1034482759</v>
      </c>
      <c r="P54" s="7">
        <v>0.1057692308</v>
      </c>
      <c r="Q54" s="7">
        <v>0.06349206349</v>
      </c>
      <c r="R54" s="7">
        <v>0.09090909091</v>
      </c>
      <c r="S54" s="7">
        <v>0.05691056911</v>
      </c>
      <c r="T54" s="8">
        <f t="shared" si="2"/>
        <v>-0.0339985218</v>
      </c>
      <c r="U54" s="8">
        <f t="shared" si="3"/>
        <v>-0.04157427937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>
      <c r="A55" s="5" t="str">
        <f>IFERROR(__xludf.DUMMYFUNCTION("""COMPUTED_VALUE"""),"Lâm Xuân Vinh")</f>
        <v>Lâm Xuân Vinh</v>
      </c>
      <c r="B55" s="6" t="s">
        <v>63</v>
      </c>
      <c r="C55" s="7">
        <v>0.08760107817</v>
      </c>
      <c r="D55" s="7">
        <v>0.08542713568</v>
      </c>
      <c r="E55" s="7">
        <v>0.0831408776</v>
      </c>
      <c r="F55" s="7">
        <v>0.09375</v>
      </c>
      <c r="G55" s="7">
        <v>0.05691056911</v>
      </c>
      <c r="H55" s="8">
        <f t="shared" si="1"/>
        <v>-0.03683943089</v>
      </c>
      <c r="I55" s="9"/>
      <c r="J55" s="5" t="str">
        <f>IFERROR(__xludf.DUMMYFUNCTION("""COMPUTED_VALUE"""),"Nguyễn Thành Huy")</f>
        <v>Nguyễn Thành Huy</v>
      </c>
      <c r="K55" s="5" t="s">
        <v>64</v>
      </c>
      <c r="L55" s="7">
        <v>0.07265774379</v>
      </c>
      <c r="M55" s="7">
        <v>0.07088607595</v>
      </c>
      <c r="N55" s="7">
        <v>0.06965174129</v>
      </c>
      <c r="O55" s="7">
        <v>0.08278867102</v>
      </c>
      <c r="P55" s="7">
        <v>0.09109311741</v>
      </c>
      <c r="Q55" s="7">
        <v>0.06928406467</v>
      </c>
      <c r="R55" s="7">
        <v>0.103125</v>
      </c>
      <c r="S55" s="7">
        <v>0.08256880734</v>
      </c>
      <c r="T55" s="8">
        <f t="shared" si="2"/>
        <v>-0.02055619266</v>
      </c>
      <c r="U55" s="8">
        <f t="shared" si="3"/>
        <v>0.00991106355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>
      <c r="A56" s="5" t="str">
        <f>IFERROR(__xludf.DUMMYFUNCTION("""COMPUTED_VALUE"""),"Nguyễn Thành Huy")</f>
        <v>Nguyễn Thành Huy</v>
      </c>
      <c r="B56" s="6" t="s">
        <v>64</v>
      </c>
      <c r="C56" s="7">
        <v>0.06423741548</v>
      </c>
      <c r="D56" s="7">
        <v>0.07428170988</v>
      </c>
      <c r="E56" s="7">
        <v>0.07312982221</v>
      </c>
      <c r="F56" s="7">
        <v>0.07931262393</v>
      </c>
      <c r="G56" s="7">
        <v>0.08256880734</v>
      </c>
      <c r="H56" s="8">
        <f t="shared" si="1"/>
        <v>0.00325618341</v>
      </c>
      <c r="I56" s="9"/>
      <c r="J56" s="5" t="str">
        <f>IFERROR(__xludf.DUMMYFUNCTION("""COMPUTED_VALUE"""),"Ngô Phan Mỹ Tú")</f>
        <v>Ngô Phan Mỹ Tú</v>
      </c>
      <c r="K56" s="5" t="s">
        <v>65</v>
      </c>
      <c r="L56" s="7">
        <v>0.0395256917</v>
      </c>
      <c r="M56" s="7">
        <v>0.07344632768</v>
      </c>
      <c r="N56" s="7">
        <v>0.06862745098</v>
      </c>
      <c r="O56" s="7">
        <v>0.05347593583</v>
      </c>
      <c r="P56" s="7">
        <v>0.07630522088</v>
      </c>
      <c r="Q56" s="7">
        <v>0.07317073171</v>
      </c>
      <c r="R56" s="7">
        <v>0.05454545455</v>
      </c>
      <c r="S56" s="7">
        <v>0.07216494845</v>
      </c>
      <c r="T56" s="8">
        <f t="shared" si="2"/>
        <v>0.0176194939</v>
      </c>
      <c r="U56" s="8">
        <f t="shared" si="3"/>
        <v>0.03263925675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>
      <c r="A57" s="5" t="str">
        <f>IFERROR(__xludf.DUMMYFUNCTION("""COMPUTED_VALUE"""),"Ngô Phan Mỹ Tú")</f>
        <v>Ngô Phan Mỹ Tú</v>
      </c>
      <c r="B57" s="6" t="s">
        <v>65</v>
      </c>
      <c r="C57" s="7">
        <v>0.07285276074</v>
      </c>
      <c r="D57" s="7">
        <v>0.06174591909</v>
      </c>
      <c r="E57" s="7">
        <v>0.07914659326</v>
      </c>
      <c r="F57" s="7">
        <v>0.0625</v>
      </c>
      <c r="G57" s="7">
        <v>0.07216494845</v>
      </c>
      <c r="H57" s="8">
        <f t="shared" si="1"/>
        <v>0.00966494845</v>
      </c>
      <c r="I57" s="9"/>
      <c r="J57" s="5" t="str">
        <f>IFERROR(__xludf.DUMMYFUNCTION("""COMPUTED_VALUE"""),"Lý Quài Nhân")</f>
        <v>Lý Quài Nhân</v>
      </c>
      <c r="K57" s="5" t="s">
        <v>66</v>
      </c>
      <c r="L57" s="7">
        <v>0.1581196581</v>
      </c>
      <c r="M57" s="7">
        <v>0.1626984127</v>
      </c>
      <c r="N57" s="7">
        <v>0.1939655172</v>
      </c>
      <c r="O57" s="7">
        <v>0.1123188406</v>
      </c>
      <c r="P57" s="7">
        <v>0.1124031008</v>
      </c>
      <c r="Q57" s="7">
        <v>0.1301369863</v>
      </c>
      <c r="R57" s="7">
        <v>0.1361867704</v>
      </c>
      <c r="S57" s="7">
        <v>0.1015625</v>
      </c>
      <c r="T57" s="8">
        <f t="shared" si="2"/>
        <v>-0.0346242704</v>
      </c>
      <c r="U57" s="8">
        <f t="shared" si="3"/>
        <v>-0.0565571581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>
      <c r="A58" s="5" t="str">
        <f>IFERROR(__xludf.DUMMYFUNCTION("""COMPUTED_VALUE"""),"Lý Quài Nhân")</f>
        <v>Lý Quài Nhân</v>
      </c>
      <c r="B58" s="6" t="s">
        <v>66</v>
      </c>
      <c r="C58" s="7">
        <v>0.102295082</v>
      </c>
      <c r="D58" s="7">
        <v>0.1341393207</v>
      </c>
      <c r="E58" s="7">
        <v>0.1303648069</v>
      </c>
      <c r="F58" s="7">
        <v>0.1421432537</v>
      </c>
      <c r="G58" s="7">
        <v>0.1015625</v>
      </c>
      <c r="H58" s="8">
        <f t="shared" si="1"/>
        <v>-0.0405807537</v>
      </c>
      <c r="I58" s="9"/>
      <c r="J58" s="5" t="str">
        <f>IFERROR(__xludf.DUMMYFUNCTION("""COMPUTED_VALUE"""),"Đoàn Công Tín")</f>
        <v>Đoàn Công Tín</v>
      </c>
      <c r="K58" s="5" t="s">
        <v>67</v>
      </c>
      <c r="L58" s="7">
        <v>0.1368421053</v>
      </c>
      <c r="M58" s="7">
        <v>0.1827956989</v>
      </c>
      <c r="N58" s="7">
        <v>0.2105263158</v>
      </c>
      <c r="O58" s="7">
        <v>0.4444444444</v>
      </c>
      <c r="P58" s="7">
        <v>0.2278481013</v>
      </c>
      <c r="Q58" s="7">
        <v>0.2156862745</v>
      </c>
      <c r="R58" s="7">
        <v>0.1621621622</v>
      </c>
      <c r="S58" s="7">
        <v>0.1413043478</v>
      </c>
      <c r="T58" s="8">
        <f t="shared" si="2"/>
        <v>-0.0208578144</v>
      </c>
      <c r="U58" s="8">
        <f t="shared" si="3"/>
        <v>0.0044622425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>
      <c r="A59" s="5" t="str">
        <f>IFERROR(__xludf.DUMMYFUNCTION("""COMPUTED_VALUE"""),"Đoàn Công Tín")</f>
        <v>Đoàn Công Tín</v>
      </c>
      <c r="B59" s="6" t="s">
        <v>67</v>
      </c>
      <c r="C59" s="7">
        <v>0.09908256881</v>
      </c>
      <c r="D59" s="7">
        <v>0.1377633712</v>
      </c>
      <c r="E59" s="7">
        <v>0.1403269755</v>
      </c>
      <c r="F59" s="7">
        <v>0.2059238364</v>
      </c>
      <c r="G59" s="7">
        <v>0.1413043478</v>
      </c>
      <c r="H59" s="8">
        <f t="shared" si="1"/>
        <v>-0.0646194886</v>
      </c>
      <c r="I59" s="9"/>
      <c r="J59" s="5" t="str">
        <f>IFERROR(__xludf.DUMMYFUNCTION("""COMPUTED_VALUE"""),"Lê Minh Tuấn")</f>
        <v>Lê Minh Tuấn</v>
      </c>
      <c r="K59" s="5" t="s">
        <v>68</v>
      </c>
      <c r="L59" s="7">
        <v>0.09090909091</v>
      </c>
      <c r="M59" s="7">
        <v>0.1836734694</v>
      </c>
      <c r="N59" s="7">
        <v>0.1397058824</v>
      </c>
      <c r="O59" s="7">
        <v>0.07594936709</v>
      </c>
      <c r="P59" s="7">
        <v>0.1275167785</v>
      </c>
      <c r="Q59" s="7">
        <v>0.03787878788</v>
      </c>
      <c r="R59" s="7">
        <v>0.03875968992</v>
      </c>
      <c r="S59" s="7">
        <v>0.1188811189</v>
      </c>
      <c r="T59" s="8">
        <f t="shared" si="2"/>
        <v>0.08012142898</v>
      </c>
      <c r="U59" s="8">
        <f t="shared" si="3"/>
        <v>0.02797202799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>
      <c r="A60" s="5" t="str">
        <f>IFERROR(__xludf.DUMMYFUNCTION("""COMPUTED_VALUE"""),"Lê Minh Tuấn")</f>
        <v>Lê Minh Tuấn</v>
      </c>
      <c r="B60" s="6" t="s">
        <v>68</v>
      </c>
      <c r="C60" s="7">
        <v>0.08135168961</v>
      </c>
      <c r="D60" s="7">
        <v>0.07594936709</v>
      </c>
      <c r="E60" s="7">
        <v>0.07003444317</v>
      </c>
      <c r="F60" s="7">
        <v>0.09854014599</v>
      </c>
      <c r="G60" s="7">
        <v>0.1188811189</v>
      </c>
      <c r="H60" s="8">
        <f t="shared" si="1"/>
        <v>0.02034097291</v>
      </c>
      <c r="I60" s="9"/>
      <c r="J60" s="5" t="str">
        <f>IFERROR(__xludf.DUMMYFUNCTION("""COMPUTED_VALUE"""),"Nguyễn Tuấn Anh")</f>
        <v>Nguyễn Tuấn Anh</v>
      </c>
      <c r="K60" s="5" t="s">
        <v>69</v>
      </c>
      <c r="L60" s="7">
        <v>0.07874015748</v>
      </c>
      <c r="M60" s="7">
        <v>0.09714285714</v>
      </c>
      <c r="N60" s="7">
        <v>0.09950248756</v>
      </c>
      <c r="O60" s="7">
        <v>0.07407407407</v>
      </c>
      <c r="P60" s="7">
        <v>0.0460251046</v>
      </c>
      <c r="Q60" s="7">
        <v>0.09163346614</v>
      </c>
      <c r="R60" s="7">
        <v>0.08292682927</v>
      </c>
      <c r="S60" s="7">
        <v>0.0777385159</v>
      </c>
      <c r="T60" s="8">
        <f t="shared" si="2"/>
        <v>-0.00518831337</v>
      </c>
      <c r="U60" s="8">
        <f t="shared" si="3"/>
        <v>-0.00100164158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>
      <c r="A61" s="5" t="str">
        <f>IFERROR(__xludf.DUMMYFUNCTION("""COMPUTED_VALUE"""),"Nguyễn Tuấn Anh")</f>
        <v>Nguyễn Tuấn Anh</v>
      </c>
      <c r="B61" s="6" t="s">
        <v>69</v>
      </c>
      <c r="C61" s="7">
        <v>0.07106963388</v>
      </c>
      <c r="D61" s="7">
        <v>0.0702811245</v>
      </c>
      <c r="E61" s="7">
        <v>0.08565989848</v>
      </c>
      <c r="F61" s="7">
        <v>0.08046722907</v>
      </c>
      <c r="G61" s="7">
        <v>0.0777385159</v>
      </c>
      <c r="H61" s="8">
        <f t="shared" si="1"/>
        <v>-0.00272871317</v>
      </c>
      <c r="I61" s="9"/>
      <c r="J61" s="5" t="str">
        <f>IFERROR(__xludf.DUMMYFUNCTION("""COMPUTED_VALUE"""),"Nguyễn Thành Huy")</f>
        <v>Nguyễn Thành Huy</v>
      </c>
      <c r="K61" s="5" t="s">
        <v>70</v>
      </c>
      <c r="L61" s="7">
        <v>0.05135135135</v>
      </c>
      <c r="M61" s="7">
        <v>0.06291390728</v>
      </c>
      <c r="N61" s="7">
        <v>0.0652173913</v>
      </c>
      <c r="O61" s="7">
        <v>0.0802919708</v>
      </c>
      <c r="P61" s="7">
        <v>0.07984790875</v>
      </c>
      <c r="Q61" s="7">
        <v>0.08403361345</v>
      </c>
      <c r="R61" s="7">
        <v>0.1023255814</v>
      </c>
      <c r="S61" s="7">
        <v>0.06752411576</v>
      </c>
      <c r="T61" s="8">
        <f t="shared" si="2"/>
        <v>-0.03480146564</v>
      </c>
      <c r="U61" s="8">
        <f t="shared" si="3"/>
        <v>0.01617276441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>
      <c r="A62" s="5" t="str">
        <f>IFERROR(__xludf.DUMMYFUNCTION("""COMPUTED_VALUE"""),"Nguyễn Thành Huy")</f>
        <v>Nguyễn Thành Huy</v>
      </c>
      <c r="B62" s="6" t="s">
        <v>70</v>
      </c>
      <c r="C62" s="7"/>
      <c r="D62" s="7"/>
      <c r="E62" s="7">
        <v>0.09489633174</v>
      </c>
      <c r="F62" s="7">
        <v>0.07293868922</v>
      </c>
      <c r="G62" s="7">
        <v>0.06752411576</v>
      </c>
      <c r="H62" s="8">
        <f t="shared" si="1"/>
        <v>-0.00541457346</v>
      </c>
      <c r="I62" s="9"/>
      <c r="J62" s="5" t="str">
        <f>IFERROR(__xludf.DUMMYFUNCTION("""COMPUTED_VALUE"""),"Nguyễn Thành Huy")</f>
        <v>Nguyễn Thành Huy</v>
      </c>
      <c r="K62" s="5" t="s">
        <v>71</v>
      </c>
      <c r="L62" s="7">
        <v>0.08108108108</v>
      </c>
      <c r="M62" s="7">
        <v>0.09401709402</v>
      </c>
      <c r="N62" s="7">
        <v>0.08520179372</v>
      </c>
      <c r="O62" s="7">
        <v>0.06639004149</v>
      </c>
      <c r="P62" s="7">
        <v>0.03643724696</v>
      </c>
      <c r="Q62" s="7">
        <v>0.07570977918</v>
      </c>
      <c r="R62" s="7">
        <v>0.07692307692</v>
      </c>
      <c r="S62" s="7">
        <v>0.06896551724</v>
      </c>
      <c r="T62" s="8">
        <f t="shared" si="2"/>
        <v>-0.00795755968</v>
      </c>
      <c r="U62" s="8">
        <f t="shared" si="3"/>
        <v>-0.01211556384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>
      <c r="A63" s="5" t="str">
        <f>IFERROR(__xludf.DUMMYFUNCTION("""COMPUTED_VALUE"""),"Nguyễn Thành Huy")</f>
        <v>Nguyễn Thành Huy</v>
      </c>
      <c r="B63" s="6" t="s">
        <v>71</v>
      </c>
      <c r="C63" s="7">
        <v>0.05784138342</v>
      </c>
      <c r="D63" s="7">
        <v>0.07013574661</v>
      </c>
      <c r="E63" s="7">
        <v>0.05902004454</v>
      </c>
      <c r="F63" s="7">
        <v>0.07352941176</v>
      </c>
      <c r="G63" s="7">
        <v>0.06896551724</v>
      </c>
      <c r="H63" s="8">
        <f t="shared" si="1"/>
        <v>-0.00456389452</v>
      </c>
      <c r="I63" s="9"/>
      <c r="J63" s="5" t="str">
        <f>IFERROR(__xludf.DUMMYFUNCTION("""COMPUTED_VALUE"""),"")</f>
        <v/>
      </c>
      <c r="K63" s="6"/>
      <c r="L63" s="7"/>
      <c r="M63" s="7"/>
      <c r="N63" s="7"/>
      <c r="O63" s="7"/>
      <c r="P63" s="7"/>
      <c r="Q63" s="7"/>
      <c r="R63" s="7"/>
      <c r="S63" s="7"/>
      <c r="T63" s="8"/>
      <c r="U63" s="8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>
      <c r="A64" s="10" t="s">
        <v>72</v>
      </c>
      <c r="B64" s="11"/>
      <c r="C64" s="12">
        <v>0.08744940219</v>
      </c>
      <c r="D64" s="12">
        <v>0.08752268458</v>
      </c>
      <c r="E64" s="12">
        <v>0.08419532578</v>
      </c>
      <c r="F64" s="12">
        <v>0.09048488751</v>
      </c>
      <c r="G64" s="12">
        <v>0.07934204161</v>
      </c>
      <c r="H64" s="13">
        <f t="shared" si="1"/>
        <v>-0.0111428459</v>
      </c>
      <c r="I64" s="9"/>
      <c r="J64" s="10" t="s">
        <v>72</v>
      </c>
      <c r="K64" s="11"/>
      <c r="L64" s="12">
        <v>0.08519021739</v>
      </c>
      <c r="M64" s="12">
        <v>0.09517355621</v>
      </c>
      <c r="N64" s="12">
        <v>0.09070779568</v>
      </c>
      <c r="O64" s="12">
        <v>0.08855440098</v>
      </c>
      <c r="P64" s="12">
        <v>0.08679192372</v>
      </c>
      <c r="Q64" s="12">
        <v>0.09256198347</v>
      </c>
      <c r="R64" s="12">
        <v>0.09548470626</v>
      </c>
      <c r="S64" s="12">
        <v>0.07934204161</v>
      </c>
      <c r="T64" s="13">
        <f>S64-R64</f>
        <v>-0.01614266465</v>
      </c>
      <c r="U64" s="13">
        <f>S64-L64</f>
        <v>-0.00584817578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>
      <c r="A65" s="9"/>
      <c r="B65" s="9"/>
      <c r="C65" s="14"/>
      <c r="D65" s="14"/>
      <c r="E65" s="14"/>
      <c r="F65" s="14"/>
      <c r="G65" s="14"/>
      <c r="H65" s="1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>
      <c r="A66" s="9"/>
      <c r="B66" s="9"/>
      <c r="C66" s="14"/>
      <c r="D66" s="14"/>
      <c r="E66" s="14"/>
      <c r="F66" s="14"/>
      <c r="G66" s="14"/>
      <c r="H66" s="1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>
      <c r="A67" s="9"/>
      <c r="B67" s="9"/>
      <c r="C67" s="14"/>
      <c r="D67" s="14"/>
      <c r="E67" s="14"/>
      <c r="F67" s="14"/>
      <c r="G67" s="14"/>
      <c r="H67" s="1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>
      <c r="A68" s="9"/>
      <c r="B68" s="9"/>
      <c r="C68" s="14"/>
      <c r="D68" s="14"/>
      <c r="E68" s="14"/>
      <c r="F68" s="14"/>
      <c r="G68" s="14"/>
      <c r="H68" s="15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>
      <c r="A69" s="9"/>
      <c r="B69" s="9"/>
      <c r="C69" s="14"/>
      <c r="D69" s="14"/>
      <c r="E69" s="14"/>
      <c r="F69" s="14"/>
      <c r="G69" s="14"/>
      <c r="H69" s="1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>
      <c r="A70" s="9"/>
      <c r="B70" s="9"/>
      <c r="C70" s="14"/>
      <c r="D70" s="14"/>
      <c r="E70" s="14"/>
      <c r="F70" s="14"/>
      <c r="G70" s="14"/>
      <c r="H70" s="1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>
      <c r="A71" s="9"/>
      <c r="B71" s="9"/>
      <c r="C71" s="14"/>
      <c r="D71" s="14"/>
      <c r="E71" s="14"/>
      <c r="F71" s="14"/>
      <c r="G71" s="14"/>
      <c r="H71" s="15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>
      <c r="A72" s="9"/>
      <c r="B72" s="9"/>
      <c r="C72" s="14"/>
      <c r="D72" s="14"/>
      <c r="E72" s="14"/>
      <c r="F72" s="14"/>
      <c r="G72" s="14"/>
      <c r="H72" s="15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>
      <c r="A73" s="9"/>
      <c r="B73" s="9"/>
      <c r="C73" s="14"/>
      <c r="D73" s="14"/>
      <c r="E73" s="14"/>
      <c r="F73" s="14"/>
      <c r="G73" s="14"/>
      <c r="H73" s="15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9"/>
      <c r="B74" s="9"/>
      <c r="C74" s="14"/>
      <c r="D74" s="14"/>
      <c r="E74" s="14"/>
      <c r="F74" s="14"/>
      <c r="G74" s="14"/>
      <c r="H74" s="1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>
      <c r="A75" s="9"/>
      <c r="B75" s="9"/>
      <c r="C75" s="14"/>
      <c r="D75" s="14"/>
      <c r="E75" s="14"/>
      <c r="F75" s="14"/>
      <c r="G75" s="14"/>
      <c r="H75" s="15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>
      <c r="A76" s="9"/>
      <c r="B76" s="9"/>
      <c r="C76" s="14"/>
      <c r="D76" s="14"/>
      <c r="E76" s="14"/>
      <c r="F76" s="14"/>
      <c r="G76" s="14"/>
      <c r="H76" s="15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>
      <c r="A77" s="9"/>
      <c r="B77" s="9"/>
      <c r="C77" s="14"/>
      <c r="D77" s="14"/>
      <c r="E77" s="14"/>
      <c r="F77" s="14"/>
      <c r="G77" s="14"/>
      <c r="H77" s="1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>
      <c r="A78" s="9"/>
      <c r="B78" s="9"/>
      <c r="C78" s="14"/>
      <c r="D78" s="14"/>
      <c r="E78" s="14"/>
      <c r="F78" s="14"/>
      <c r="G78" s="14"/>
      <c r="H78" s="1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>
      <c r="A79" s="9"/>
      <c r="B79" s="9"/>
      <c r="C79" s="14"/>
      <c r="D79" s="14"/>
      <c r="E79" s="14"/>
      <c r="F79" s="14"/>
      <c r="G79" s="14"/>
      <c r="H79" s="15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>
      <c r="A80" s="9"/>
      <c r="B80" s="9"/>
      <c r="C80" s="14"/>
      <c r="D80" s="14"/>
      <c r="E80" s="14"/>
      <c r="F80" s="14"/>
      <c r="G80" s="14"/>
      <c r="H80" s="15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>
      <c r="A81" s="9"/>
      <c r="B81" s="9"/>
      <c r="C81" s="14"/>
      <c r="D81" s="14"/>
      <c r="E81" s="14"/>
      <c r="F81" s="14"/>
      <c r="G81" s="14"/>
      <c r="H81" s="15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>
      <c r="A82" s="9"/>
      <c r="B82" s="9"/>
      <c r="C82" s="14"/>
      <c r="D82" s="14"/>
      <c r="E82" s="14"/>
      <c r="F82" s="14"/>
      <c r="G82" s="14"/>
      <c r="H82" s="15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>
      <c r="A83" s="9"/>
      <c r="B83" s="9"/>
      <c r="C83" s="14"/>
      <c r="D83" s="14"/>
      <c r="E83" s="14"/>
      <c r="F83" s="14"/>
      <c r="G83" s="14"/>
      <c r="H83" s="15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>
      <c r="A84" s="9"/>
      <c r="B84" s="9"/>
      <c r="C84" s="14"/>
      <c r="D84" s="14"/>
      <c r="E84" s="14"/>
      <c r="F84" s="14"/>
      <c r="G84" s="14"/>
      <c r="H84" s="15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>
      <c r="A85" s="9"/>
      <c r="B85" s="9"/>
      <c r="C85" s="14"/>
      <c r="D85" s="14"/>
      <c r="E85" s="14"/>
      <c r="F85" s="14"/>
      <c r="G85" s="14"/>
      <c r="H85" s="15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>
      <c r="A86" s="9"/>
      <c r="B86" s="9"/>
      <c r="C86" s="14"/>
      <c r="D86" s="14"/>
      <c r="E86" s="14"/>
      <c r="F86" s="14"/>
      <c r="G86" s="14"/>
      <c r="H86" s="15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>
      <c r="A87" s="9"/>
      <c r="B87" s="9"/>
      <c r="C87" s="14"/>
      <c r="D87" s="14"/>
      <c r="E87" s="14"/>
      <c r="F87" s="14"/>
      <c r="G87" s="14"/>
      <c r="H87" s="15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>
      <c r="A88" s="9"/>
      <c r="B88" s="9"/>
      <c r="C88" s="14"/>
      <c r="D88" s="14"/>
      <c r="E88" s="14"/>
      <c r="F88" s="14"/>
      <c r="G88" s="14"/>
      <c r="H88" s="1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>
      <c r="A89" s="9"/>
      <c r="B89" s="9"/>
      <c r="C89" s="14"/>
      <c r="D89" s="14"/>
      <c r="E89" s="14"/>
      <c r="F89" s="14"/>
      <c r="G89" s="14"/>
      <c r="H89" s="1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>
      <c r="A90" s="9"/>
      <c r="B90" s="9"/>
      <c r="C90" s="14"/>
      <c r="D90" s="14"/>
      <c r="E90" s="14"/>
      <c r="F90" s="14"/>
      <c r="G90" s="14"/>
      <c r="H90" s="1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>
      <c r="A91" s="9"/>
      <c r="B91" s="9"/>
      <c r="C91" s="14"/>
      <c r="D91" s="14"/>
      <c r="E91" s="14"/>
      <c r="F91" s="14"/>
      <c r="G91" s="14"/>
      <c r="H91" s="1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>
      <c r="A92" s="9"/>
      <c r="B92" s="9"/>
      <c r="C92" s="14"/>
      <c r="D92" s="14"/>
      <c r="E92" s="14"/>
      <c r="F92" s="14"/>
      <c r="G92" s="14"/>
      <c r="H92" s="1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>
      <c r="A93" s="9"/>
      <c r="B93" s="9"/>
      <c r="C93" s="14"/>
      <c r="D93" s="14"/>
      <c r="E93" s="14"/>
      <c r="F93" s="14"/>
      <c r="G93" s="14"/>
      <c r="H93" s="1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>
      <c r="A94" s="9"/>
      <c r="B94" s="9"/>
      <c r="C94" s="14"/>
      <c r="D94" s="14"/>
      <c r="E94" s="14"/>
      <c r="F94" s="14"/>
      <c r="G94" s="14"/>
      <c r="H94" s="15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>
      <c r="A95" s="9"/>
      <c r="B95" s="9"/>
      <c r="C95" s="14"/>
      <c r="D95" s="14"/>
      <c r="E95" s="14"/>
      <c r="F95" s="14"/>
      <c r="G95" s="14"/>
      <c r="H95" s="1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>
      <c r="A96" s="9"/>
      <c r="B96" s="9"/>
      <c r="C96" s="14"/>
      <c r="D96" s="14"/>
      <c r="E96" s="14"/>
      <c r="F96" s="14"/>
      <c r="G96" s="14"/>
      <c r="H96" s="1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>
      <c r="A97" s="9"/>
      <c r="B97" s="9"/>
      <c r="C97" s="14"/>
      <c r="D97" s="14"/>
      <c r="E97" s="14"/>
      <c r="F97" s="14"/>
      <c r="G97" s="14"/>
      <c r="H97" s="1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>
      <c r="A98" s="9"/>
      <c r="B98" s="9"/>
      <c r="C98" s="14"/>
      <c r="D98" s="14"/>
      <c r="E98" s="14"/>
      <c r="F98" s="14"/>
      <c r="G98" s="14"/>
      <c r="H98" s="1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>
      <c r="A99" s="9"/>
      <c r="B99" s="9"/>
      <c r="C99" s="14"/>
      <c r="D99" s="14"/>
      <c r="E99" s="14"/>
      <c r="F99" s="14"/>
      <c r="G99" s="14"/>
      <c r="H99" s="1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>
      <c r="A100" s="9"/>
      <c r="B100" s="9"/>
      <c r="C100" s="14"/>
      <c r="D100" s="14"/>
      <c r="E100" s="14"/>
      <c r="F100" s="14"/>
      <c r="G100" s="14"/>
      <c r="H100" s="1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>
      <c r="A101" s="9"/>
      <c r="B101" s="9"/>
      <c r="C101" s="14"/>
      <c r="D101" s="14"/>
      <c r="E101" s="14"/>
      <c r="F101" s="14"/>
      <c r="G101" s="14"/>
      <c r="H101" s="1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>
      <c r="A102" s="9"/>
      <c r="B102" s="9"/>
      <c r="C102" s="14"/>
      <c r="D102" s="14"/>
      <c r="E102" s="14"/>
      <c r="F102" s="14"/>
      <c r="G102" s="14"/>
      <c r="H102" s="15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>
      <c r="A103" s="9"/>
      <c r="B103" s="9"/>
      <c r="C103" s="14"/>
      <c r="D103" s="14"/>
      <c r="E103" s="14"/>
      <c r="F103" s="14"/>
      <c r="G103" s="14"/>
      <c r="H103" s="1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>
      <c r="A104" s="9"/>
      <c r="B104" s="9"/>
      <c r="C104" s="14"/>
      <c r="D104" s="14"/>
      <c r="E104" s="14"/>
      <c r="F104" s="14"/>
      <c r="G104" s="14"/>
      <c r="H104" s="1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>
      <c r="A105" s="9"/>
      <c r="B105" s="9"/>
      <c r="C105" s="14"/>
      <c r="D105" s="14"/>
      <c r="E105" s="14"/>
      <c r="F105" s="14"/>
      <c r="G105" s="14"/>
      <c r="H105" s="15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>
      <c r="A106" s="9"/>
      <c r="B106" s="9"/>
      <c r="C106" s="14"/>
      <c r="D106" s="14"/>
      <c r="E106" s="14"/>
      <c r="F106" s="14"/>
      <c r="G106" s="14"/>
      <c r="H106" s="1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>
      <c r="A107" s="9"/>
      <c r="B107" s="9"/>
      <c r="C107" s="14"/>
      <c r="D107" s="14"/>
      <c r="E107" s="14"/>
      <c r="F107" s="14"/>
      <c r="G107" s="14"/>
      <c r="H107" s="1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>
      <c r="A108" s="9"/>
      <c r="B108" s="9"/>
      <c r="C108" s="14"/>
      <c r="D108" s="14"/>
      <c r="E108" s="14"/>
      <c r="F108" s="14"/>
      <c r="G108" s="14"/>
      <c r="H108" s="15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>
      <c r="A109" s="9"/>
      <c r="B109" s="9"/>
      <c r="C109" s="14"/>
      <c r="D109" s="14"/>
      <c r="E109" s="14"/>
      <c r="F109" s="14"/>
      <c r="G109" s="14"/>
      <c r="H109" s="15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>
      <c r="A110" s="9"/>
      <c r="B110" s="9"/>
      <c r="C110" s="14"/>
      <c r="D110" s="14"/>
      <c r="E110" s="14"/>
      <c r="F110" s="14"/>
      <c r="G110" s="14"/>
      <c r="H110" s="15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>
      <c r="A111" s="9"/>
      <c r="B111" s="9"/>
      <c r="C111" s="14"/>
      <c r="D111" s="14"/>
      <c r="E111" s="14"/>
      <c r="F111" s="14"/>
      <c r="G111" s="14"/>
      <c r="H111" s="15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>
      <c r="A112" s="9"/>
      <c r="B112" s="9"/>
      <c r="C112" s="14"/>
      <c r="D112" s="14"/>
      <c r="E112" s="14"/>
      <c r="F112" s="14"/>
      <c r="G112" s="14"/>
      <c r="H112" s="15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>
      <c r="A113" s="9"/>
      <c r="B113" s="9"/>
      <c r="C113" s="14"/>
      <c r="D113" s="14"/>
      <c r="E113" s="14"/>
      <c r="F113" s="14"/>
      <c r="G113" s="14"/>
      <c r="H113" s="1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>
      <c r="A114" s="9"/>
      <c r="B114" s="9"/>
      <c r="C114" s="14"/>
      <c r="D114" s="14"/>
      <c r="E114" s="14"/>
      <c r="F114" s="14"/>
      <c r="G114" s="14"/>
      <c r="H114" s="1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>
      <c r="A115" s="9"/>
      <c r="B115" s="9"/>
      <c r="C115" s="14"/>
      <c r="D115" s="14"/>
      <c r="E115" s="14"/>
      <c r="F115" s="14"/>
      <c r="G115" s="14"/>
      <c r="H115" s="1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>
      <c r="A116" s="9"/>
      <c r="B116" s="9"/>
      <c r="C116" s="14"/>
      <c r="D116" s="14"/>
      <c r="E116" s="14"/>
      <c r="F116" s="14"/>
      <c r="G116" s="14"/>
      <c r="H116" s="1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>
      <c r="A117" s="9"/>
      <c r="B117" s="9"/>
      <c r="C117" s="14"/>
      <c r="D117" s="14"/>
      <c r="E117" s="14"/>
      <c r="F117" s="14"/>
      <c r="G117" s="14"/>
      <c r="H117" s="1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>
      <c r="A118" s="9"/>
      <c r="B118" s="9"/>
      <c r="C118" s="14"/>
      <c r="D118" s="14"/>
      <c r="E118" s="14"/>
      <c r="F118" s="14"/>
      <c r="G118" s="14"/>
      <c r="H118" s="1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>
      <c r="A119" s="9"/>
      <c r="B119" s="9"/>
      <c r="C119" s="14"/>
      <c r="D119" s="14"/>
      <c r="E119" s="14"/>
      <c r="F119" s="14"/>
      <c r="G119" s="14"/>
      <c r="H119" s="1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>
      <c r="A120" s="9"/>
      <c r="B120" s="9"/>
      <c r="C120" s="14"/>
      <c r="D120" s="14"/>
      <c r="E120" s="14"/>
      <c r="F120" s="14"/>
      <c r="G120" s="14"/>
      <c r="H120" s="1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>
      <c r="A121" s="9"/>
      <c r="B121" s="9"/>
      <c r="C121" s="14"/>
      <c r="D121" s="14"/>
      <c r="E121" s="14"/>
      <c r="F121" s="14"/>
      <c r="G121" s="14"/>
      <c r="H121" s="1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>
      <c r="A122" s="9"/>
      <c r="B122" s="9"/>
      <c r="C122" s="14"/>
      <c r="D122" s="14"/>
      <c r="E122" s="14"/>
      <c r="F122" s="14"/>
      <c r="G122" s="14"/>
      <c r="H122" s="1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>
      <c r="A123" s="9"/>
      <c r="B123" s="9"/>
      <c r="C123" s="14"/>
      <c r="D123" s="14"/>
      <c r="E123" s="14"/>
      <c r="F123" s="14"/>
      <c r="G123" s="14"/>
      <c r="H123" s="1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>
      <c r="A124" s="9"/>
      <c r="B124" s="9"/>
      <c r="C124" s="14"/>
      <c r="D124" s="14"/>
      <c r="E124" s="14"/>
      <c r="F124" s="14"/>
      <c r="G124" s="14"/>
      <c r="H124" s="1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>
      <c r="A125" s="9"/>
      <c r="B125" s="9"/>
      <c r="C125" s="14"/>
      <c r="D125" s="14"/>
      <c r="E125" s="14"/>
      <c r="F125" s="14"/>
      <c r="G125" s="14"/>
      <c r="H125" s="1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>
      <c r="A126" s="9"/>
      <c r="B126" s="9"/>
      <c r="C126" s="14"/>
      <c r="D126" s="14"/>
      <c r="E126" s="14"/>
      <c r="F126" s="14"/>
      <c r="G126" s="14"/>
      <c r="H126" s="1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>
      <c r="A127" s="9"/>
      <c r="B127" s="9"/>
      <c r="C127" s="14"/>
      <c r="D127" s="14"/>
      <c r="E127" s="14"/>
      <c r="F127" s="14"/>
      <c r="G127" s="14"/>
      <c r="H127" s="1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>
      <c r="A128" s="9"/>
      <c r="B128" s="9"/>
      <c r="C128" s="14"/>
      <c r="D128" s="14"/>
      <c r="E128" s="14"/>
      <c r="F128" s="14"/>
      <c r="G128" s="14"/>
      <c r="H128" s="1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>
      <c r="A129" s="9"/>
      <c r="B129" s="9"/>
      <c r="C129" s="14"/>
      <c r="D129" s="14"/>
      <c r="E129" s="14"/>
      <c r="F129" s="14"/>
      <c r="G129" s="14"/>
      <c r="H129" s="1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>
      <c r="A130" s="9"/>
      <c r="B130" s="9"/>
      <c r="C130" s="14"/>
      <c r="D130" s="14"/>
      <c r="E130" s="14"/>
      <c r="F130" s="14"/>
      <c r="G130" s="14"/>
      <c r="H130" s="15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>
      <c r="A131" s="9"/>
      <c r="B131" s="9"/>
      <c r="C131" s="14"/>
      <c r="D131" s="14"/>
      <c r="E131" s="14"/>
      <c r="F131" s="14"/>
      <c r="G131" s="14"/>
      <c r="H131" s="1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>
      <c r="A132" s="9"/>
      <c r="B132" s="9"/>
      <c r="C132" s="14"/>
      <c r="D132" s="14"/>
      <c r="E132" s="14"/>
      <c r="F132" s="14"/>
      <c r="G132" s="14"/>
      <c r="H132" s="1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>
      <c r="A133" s="9"/>
      <c r="B133" s="9"/>
      <c r="C133" s="14"/>
      <c r="D133" s="14"/>
      <c r="E133" s="14"/>
      <c r="F133" s="14"/>
      <c r="G133" s="14"/>
      <c r="H133" s="1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>
      <c r="A134" s="9"/>
      <c r="B134" s="9"/>
      <c r="C134" s="14"/>
      <c r="D134" s="14"/>
      <c r="E134" s="14"/>
      <c r="F134" s="14"/>
      <c r="G134" s="14"/>
      <c r="H134" s="15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>
      <c r="A135" s="9"/>
      <c r="B135" s="9"/>
      <c r="C135" s="14"/>
      <c r="D135" s="14"/>
      <c r="E135" s="14"/>
      <c r="F135" s="14"/>
      <c r="G135" s="14"/>
      <c r="H135" s="1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>
      <c r="A136" s="9"/>
      <c r="B136" s="9"/>
      <c r="C136" s="14"/>
      <c r="D136" s="14"/>
      <c r="E136" s="14"/>
      <c r="F136" s="14"/>
      <c r="G136" s="14"/>
      <c r="H136" s="1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>
      <c r="A137" s="9"/>
      <c r="B137" s="9"/>
      <c r="C137" s="14"/>
      <c r="D137" s="14"/>
      <c r="E137" s="14"/>
      <c r="F137" s="14"/>
      <c r="G137" s="14"/>
      <c r="H137" s="1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>
      <c r="A138" s="9"/>
      <c r="B138" s="9"/>
      <c r="C138" s="14"/>
      <c r="D138" s="14"/>
      <c r="E138" s="14"/>
      <c r="F138" s="14"/>
      <c r="G138" s="14"/>
      <c r="H138" s="1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>
      <c r="A139" s="9"/>
      <c r="B139" s="9"/>
      <c r="C139" s="14"/>
      <c r="D139" s="14"/>
      <c r="E139" s="14"/>
      <c r="F139" s="14"/>
      <c r="G139" s="14"/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>
      <c r="A140" s="9"/>
      <c r="B140" s="9"/>
      <c r="C140" s="14"/>
      <c r="D140" s="14"/>
      <c r="E140" s="14"/>
      <c r="F140" s="14"/>
      <c r="G140" s="14"/>
      <c r="H140" s="1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>
      <c r="A141" s="9"/>
      <c r="B141" s="9"/>
      <c r="C141" s="14"/>
      <c r="D141" s="14"/>
      <c r="E141" s="14"/>
      <c r="F141" s="14"/>
      <c r="G141" s="14"/>
      <c r="H141" s="1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>
      <c r="A142" s="9"/>
      <c r="B142" s="9"/>
      <c r="C142" s="14"/>
      <c r="D142" s="14"/>
      <c r="E142" s="14"/>
      <c r="F142" s="14"/>
      <c r="G142" s="14"/>
      <c r="H142" s="1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>
      <c r="A143" s="9"/>
      <c r="B143" s="9"/>
      <c r="C143" s="14"/>
      <c r="D143" s="14"/>
      <c r="E143" s="14"/>
      <c r="F143" s="14"/>
      <c r="G143" s="14"/>
      <c r="H143" s="1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>
      <c r="A144" s="9"/>
      <c r="B144" s="9"/>
      <c r="C144" s="14"/>
      <c r="D144" s="14"/>
      <c r="E144" s="14"/>
      <c r="F144" s="14"/>
      <c r="G144" s="14"/>
      <c r="H144" s="1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>
      <c r="A145" s="9"/>
      <c r="B145" s="9"/>
      <c r="C145" s="14"/>
      <c r="D145" s="14"/>
      <c r="E145" s="14"/>
      <c r="F145" s="14"/>
      <c r="G145" s="14"/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>
      <c r="A146" s="9"/>
      <c r="B146" s="9"/>
      <c r="C146" s="14"/>
      <c r="D146" s="14"/>
      <c r="E146" s="14"/>
      <c r="F146" s="14"/>
      <c r="G146" s="14"/>
      <c r="H146" s="15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>
      <c r="A147" s="9"/>
      <c r="B147" s="9"/>
      <c r="C147" s="14"/>
      <c r="D147" s="14"/>
      <c r="E147" s="14"/>
      <c r="F147" s="14"/>
      <c r="G147" s="14"/>
      <c r="H147" s="1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>
      <c r="A148" s="9"/>
      <c r="B148" s="9"/>
      <c r="C148" s="14"/>
      <c r="D148" s="14"/>
      <c r="E148" s="14"/>
      <c r="F148" s="14"/>
      <c r="G148" s="14"/>
      <c r="H148" s="15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>
      <c r="A149" s="9"/>
      <c r="B149" s="9"/>
      <c r="C149" s="14"/>
      <c r="D149" s="14"/>
      <c r="E149" s="14"/>
      <c r="F149" s="14"/>
      <c r="G149" s="14"/>
      <c r="H149" s="1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>
      <c r="A150" s="9"/>
      <c r="B150" s="9"/>
      <c r="C150" s="14"/>
      <c r="D150" s="14"/>
      <c r="E150" s="14"/>
      <c r="F150" s="14"/>
      <c r="G150" s="14"/>
      <c r="H150" s="15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>
      <c r="A151" s="9"/>
      <c r="B151" s="9"/>
      <c r="C151" s="14"/>
      <c r="D151" s="14"/>
      <c r="E151" s="14"/>
      <c r="F151" s="14"/>
      <c r="G151" s="14"/>
      <c r="H151" s="1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>
      <c r="A152" s="9"/>
      <c r="B152" s="9"/>
      <c r="C152" s="14"/>
      <c r="D152" s="14"/>
      <c r="E152" s="14"/>
      <c r="F152" s="14"/>
      <c r="G152" s="14"/>
      <c r="H152" s="15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>
      <c r="A153" s="9"/>
      <c r="B153" s="9"/>
      <c r="C153" s="14"/>
      <c r="D153" s="14"/>
      <c r="E153" s="14"/>
      <c r="F153" s="14"/>
      <c r="G153" s="14"/>
      <c r="H153" s="1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>
      <c r="A154" s="9"/>
      <c r="B154" s="9"/>
      <c r="C154" s="14"/>
      <c r="D154" s="14"/>
      <c r="E154" s="14"/>
      <c r="F154" s="14"/>
      <c r="G154" s="14"/>
      <c r="H154" s="15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>
      <c r="A155" s="9"/>
      <c r="B155" s="9"/>
      <c r="C155" s="14"/>
      <c r="D155" s="14"/>
      <c r="E155" s="14"/>
      <c r="F155" s="14"/>
      <c r="G155" s="14"/>
      <c r="H155" s="15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>
      <c r="A156" s="9"/>
      <c r="B156" s="9"/>
      <c r="C156" s="14"/>
      <c r="D156" s="14"/>
      <c r="E156" s="14"/>
      <c r="F156" s="14"/>
      <c r="G156" s="14"/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>
      <c r="A157" s="9"/>
      <c r="B157" s="9"/>
      <c r="C157" s="14"/>
      <c r="D157" s="14"/>
      <c r="E157" s="14"/>
      <c r="F157" s="14"/>
      <c r="G157" s="14"/>
      <c r="H157" s="15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>
      <c r="A158" s="9"/>
      <c r="B158" s="9"/>
      <c r="C158" s="14"/>
      <c r="D158" s="14"/>
      <c r="E158" s="14"/>
      <c r="F158" s="14"/>
      <c r="G158" s="14"/>
      <c r="H158" s="15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>
      <c r="A159" s="9"/>
      <c r="B159" s="9"/>
      <c r="C159" s="14"/>
      <c r="D159" s="14"/>
      <c r="E159" s="14"/>
      <c r="F159" s="14"/>
      <c r="G159" s="14"/>
      <c r="H159" s="15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>
      <c r="A160" s="9"/>
      <c r="B160" s="9"/>
      <c r="C160" s="14"/>
      <c r="D160" s="14"/>
      <c r="E160" s="14"/>
      <c r="F160" s="14"/>
      <c r="G160" s="14"/>
      <c r="H160" s="1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>
      <c r="A161" s="9"/>
      <c r="B161" s="9"/>
      <c r="C161" s="14"/>
      <c r="D161" s="14"/>
      <c r="E161" s="14"/>
      <c r="F161" s="14"/>
      <c r="G161" s="14"/>
      <c r="H161" s="15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>
      <c r="A162" s="9"/>
      <c r="B162" s="9"/>
      <c r="C162" s="14"/>
      <c r="D162" s="14"/>
      <c r="E162" s="14"/>
      <c r="F162" s="14"/>
      <c r="G162" s="14"/>
      <c r="H162" s="15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>
      <c r="A163" s="9"/>
      <c r="B163" s="9"/>
      <c r="C163" s="14"/>
      <c r="D163" s="14"/>
      <c r="E163" s="14"/>
      <c r="F163" s="14"/>
      <c r="G163" s="14"/>
      <c r="H163" s="15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>
      <c r="A164" s="9"/>
      <c r="B164" s="9"/>
      <c r="C164" s="14"/>
      <c r="D164" s="14"/>
      <c r="E164" s="14"/>
      <c r="F164" s="14"/>
      <c r="G164" s="14"/>
      <c r="H164" s="1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>
      <c r="A165" s="9"/>
      <c r="B165" s="9"/>
      <c r="C165" s="14"/>
      <c r="D165" s="14"/>
      <c r="E165" s="14"/>
      <c r="F165" s="14"/>
      <c r="G165" s="14"/>
      <c r="H165" s="15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>
      <c r="A166" s="9"/>
      <c r="B166" s="9"/>
      <c r="C166" s="14"/>
      <c r="D166" s="14"/>
      <c r="E166" s="14"/>
      <c r="F166" s="14"/>
      <c r="G166" s="14"/>
      <c r="H166" s="1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>
      <c r="A167" s="9"/>
      <c r="B167" s="9"/>
      <c r="C167" s="14"/>
      <c r="D167" s="14"/>
      <c r="E167" s="14"/>
      <c r="F167" s="14"/>
      <c r="G167" s="14"/>
      <c r="H167" s="1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>
      <c r="A168" s="9"/>
      <c r="B168" s="9"/>
      <c r="C168" s="14"/>
      <c r="D168" s="14"/>
      <c r="E168" s="14"/>
      <c r="F168" s="14"/>
      <c r="G168" s="14"/>
      <c r="H168" s="1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>
      <c r="A169" s="9"/>
      <c r="B169" s="9"/>
      <c r="C169" s="14"/>
      <c r="D169" s="14"/>
      <c r="E169" s="14"/>
      <c r="F169" s="14"/>
      <c r="G169" s="14"/>
      <c r="H169" s="1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>
      <c r="A170" s="9"/>
      <c r="B170" s="9"/>
      <c r="C170" s="14"/>
      <c r="D170" s="14"/>
      <c r="E170" s="14"/>
      <c r="F170" s="14"/>
      <c r="G170" s="14"/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>
      <c r="A171" s="9"/>
      <c r="B171" s="9"/>
      <c r="C171" s="14"/>
      <c r="D171" s="14"/>
      <c r="E171" s="14"/>
      <c r="F171" s="14"/>
      <c r="G171" s="14"/>
      <c r="H171" s="15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>
      <c r="A172" s="9"/>
      <c r="B172" s="9"/>
      <c r="C172" s="14"/>
      <c r="D172" s="14"/>
      <c r="E172" s="14"/>
      <c r="F172" s="14"/>
      <c r="G172" s="14"/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>
      <c r="A173" s="9"/>
      <c r="B173" s="9"/>
      <c r="C173" s="14"/>
      <c r="D173" s="14"/>
      <c r="E173" s="14"/>
      <c r="F173" s="14"/>
      <c r="G173" s="14"/>
      <c r="H173" s="15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>
      <c r="A174" s="9"/>
      <c r="B174" s="9"/>
      <c r="C174" s="14"/>
      <c r="D174" s="14"/>
      <c r="E174" s="14"/>
      <c r="F174" s="14"/>
      <c r="G174" s="14"/>
      <c r="H174" s="15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>
      <c r="A175" s="9"/>
      <c r="B175" s="9"/>
      <c r="C175" s="14"/>
      <c r="D175" s="14"/>
      <c r="E175" s="14"/>
      <c r="F175" s="14"/>
      <c r="G175" s="14"/>
      <c r="H175" s="15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>
      <c r="A176" s="9"/>
      <c r="B176" s="9"/>
      <c r="C176" s="14"/>
      <c r="D176" s="14"/>
      <c r="E176" s="14"/>
      <c r="F176" s="14"/>
      <c r="G176" s="14"/>
      <c r="H176" s="15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>
      <c r="A177" s="9"/>
      <c r="B177" s="9"/>
      <c r="C177" s="14"/>
      <c r="D177" s="14"/>
      <c r="E177" s="14"/>
      <c r="F177" s="14"/>
      <c r="G177" s="14"/>
      <c r="H177" s="1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>
      <c r="A178" s="9"/>
      <c r="B178" s="9"/>
      <c r="C178" s="14"/>
      <c r="D178" s="14"/>
      <c r="E178" s="14"/>
      <c r="F178" s="14"/>
      <c r="G178" s="14"/>
      <c r="H178" s="15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>
      <c r="A179" s="9"/>
      <c r="B179" s="9"/>
      <c r="C179" s="14"/>
      <c r="D179" s="14"/>
      <c r="E179" s="14"/>
      <c r="F179" s="14"/>
      <c r="G179" s="14"/>
      <c r="H179" s="1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>
      <c r="A180" s="9"/>
      <c r="B180" s="9"/>
      <c r="C180" s="14"/>
      <c r="D180" s="14"/>
      <c r="E180" s="14"/>
      <c r="F180" s="14"/>
      <c r="G180" s="14"/>
      <c r="H180" s="1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>
      <c r="A181" s="9"/>
      <c r="B181" s="9"/>
      <c r="C181" s="14"/>
      <c r="D181" s="14"/>
      <c r="E181" s="14"/>
      <c r="F181" s="14"/>
      <c r="G181" s="14"/>
      <c r="H181" s="15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>
      <c r="A182" s="9"/>
      <c r="B182" s="9"/>
      <c r="C182" s="14"/>
      <c r="D182" s="14"/>
      <c r="E182" s="14"/>
      <c r="F182" s="14"/>
      <c r="G182" s="14"/>
      <c r="H182" s="15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>
      <c r="A183" s="9"/>
      <c r="B183" s="9"/>
      <c r="C183" s="14"/>
      <c r="D183" s="14"/>
      <c r="E183" s="14"/>
      <c r="F183" s="14"/>
      <c r="G183" s="14"/>
      <c r="H183" s="15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>
      <c r="A184" s="9"/>
      <c r="B184" s="9"/>
      <c r="C184" s="14"/>
      <c r="D184" s="14"/>
      <c r="E184" s="14"/>
      <c r="F184" s="14"/>
      <c r="G184" s="14"/>
      <c r="H184" s="1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>
      <c r="A185" s="9"/>
      <c r="B185" s="9"/>
      <c r="C185" s="14"/>
      <c r="D185" s="14"/>
      <c r="E185" s="14"/>
      <c r="F185" s="14"/>
      <c r="G185" s="14"/>
      <c r="H185" s="1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>
      <c r="A186" s="9"/>
      <c r="B186" s="9"/>
      <c r="C186" s="14"/>
      <c r="D186" s="14"/>
      <c r="E186" s="14"/>
      <c r="F186" s="14"/>
      <c r="G186" s="14"/>
      <c r="H186" s="1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>
      <c r="A187" s="9"/>
      <c r="B187" s="9"/>
      <c r="C187" s="14"/>
      <c r="D187" s="14"/>
      <c r="E187" s="14"/>
      <c r="F187" s="14"/>
      <c r="G187" s="14"/>
      <c r="H187" s="1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>
      <c r="A188" s="9"/>
      <c r="B188" s="9"/>
      <c r="C188" s="14"/>
      <c r="D188" s="14"/>
      <c r="E188" s="14"/>
      <c r="F188" s="14"/>
      <c r="G188" s="14"/>
      <c r="H188" s="1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>
      <c r="A189" s="9"/>
      <c r="B189" s="9"/>
      <c r="C189" s="14"/>
      <c r="D189" s="14"/>
      <c r="E189" s="14"/>
      <c r="F189" s="14"/>
      <c r="G189" s="14"/>
      <c r="H189" s="1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>
      <c r="A190" s="9"/>
      <c r="B190" s="9"/>
      <c r="C190" s="14"/>
      <c r="D190" s="14"/>
      <c r="E190" s="14"/>
      <c r="F190" s="14"/>
      <c r="G190" s="14"/>
      <c r="H190" s="15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>
      <c r="A191" s="9"/>
      <c r="B191" s="9"/>
      <c r="C191" s="14"/>
      <c r="D191" s="14"/>
      <c r="E191" s="14"/>
      <c r="F191" s="14"/>
      <c r="G191" s="14"/>
      <c r="H191" s="1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>
      <c r="A192" s="9"/>
      <c r="B192" s="9"/>
      <c r="C192" s="14"/>
      <c r="D192" s="14"/>
      <c r="E192" s="14"/>
      <c r="F192" s="14"/>
      <c r="G192" s="14"/>
      <c r="H192" s="1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>
      <c r="A193" s="9"/>
      <c r="B193" s="9"/>
      <c r="C193" s="14"/>
      <c r="D193" s="14"/>
      <c r="E193" s="14"/>
      <c r="F193" s="14"/>
      <c r="G193" s="14"/>
      <c r="H193" s="1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>
      <c r="A194" s="9"/>
      <c r="B194" s="9"/>
      <c r="C194" s="14"/>
      <c r="D194" s="14"/>
      <c r="E194" s="14"/>
      <c r="F194" s="14"/>
      <c r="G194" s="14"/>
      <c r="H194" s="15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>
      <c r="A195" s="9"/>
      <c r="B195" s="9"/>
      <c r="C195" s="14"/>
      <c r="D195" s="14"/>
      <c r="E195" s="14"/>
      <c r="F195" s="14"/>
      <c r="G195" s="14"/>
      <c r="H195" s="1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>
      <c r="A196" s="9"/>
      <c r="B196" s="9"/>
      <c r="C196" s="14"/>
      <c r="D196" s="14"/>
      <c r="E196" s="14"/>
      <c r="F196" s="14"/>
      <c r="G196" s="14"/>
      <c r="H196" s="1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>
      <c r="A197" s="9"/>
      <c r="B197" s="9"/>
      <c r="C197" s="14"/>
      <c r="D197" s="14"/>
      <c r="E197" s="14"/>
      <c r="F197" s="14"/>
      <c r="G197" s="14"/>
      <c r="H197" s="15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>
      <c r="A198" s="9"/>
      <c r="B198" s="9"/>
      <c r="C198" s="14"/>
      <c r="D198" s="14"/>
      <c r="E198" s="14"/>
      <c r="F198" s="14"/>
      <c r="G198" s="14"/>
      <c r="H198" s="15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>
      <c r="A199" s="9"/>
      <c r="B199" s="9"/>
      <c r="C199" s="14"/>
      <c r="D199" s="14"/>
      <c r="E199" s="14"/>
      <c r="F199" s="14"/>
      <c r="G199" s="14"/>
      <c r="H199" s="1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>
      <c r="A200" s="9"/>
      <c r="B200" s="9"/>
      <c r="C200" s="14"/>
      <c r="D200" s="14"/>
      <c r="E200" s="14"/>
      <c r="F200" s="14"/>
      <c r="G200" s="14"/>
      <c r="H200" s="1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>
      <c r="A201" s="9"/>
      <c r="B201" s="9"/>
      <c r="C201" s="14"/>
      <c r="D201" s="14"/>
      <c r="E201" s="14"/>
      <c r="F201" s="14"/>
      <c r="G201" s="14"/>
      <c r="H201" s="15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>
      <c r="A202" s="9"/>
      <c r="B202" s="9"/>
      <c r="C202" s="14"/>
      <c r="D202" s="14"/>
      <c r="E202" s="14"/>
      <c r="F202" s="14"/>
      <c r="G202" s="14"/>
      <c r="H202" s="1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>
      <c r="A203" s="9"/>
      <c r="B203" s="9"/>
      <c r="C203" s="14"/>
      <c r="D203" s="14"/>
      <c r="E203" s="14"/>
      <c r="F203" s="14"/>
      <c r="G203" s="14"/>
      <c r="H203" s="15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>
      <c r="A204" s="9"/>
      <c r="B204" s="9"/>
      <c r="C204" s="14"/>
      <c r="D204" s="14"/>
      <c r="E204" s="14"/>
      <c r="F204" s="14"/>
      <c r="G204" s="14"/>
      <c r="H204" s="1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>
      <c r="A205" s="9"/>
      <c r="B205" s="9"/>
      <c r="C205" s="14"/>
      <c r="D205" s="14"/>
      <c r="E205" s="14"/>
      <c r="F205" s="14"/>
      <c r="G205" s="14"/>
      <c r="H205" s="1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>
      <c r="A206" s="9"/>
      <c r="B206" s="9"/>
      <c r="C206" s="14"/>
      <c r="D206" s="14"/>
      <c r="E206" s="14"/>
      <c r="F206" s="14"/>
      <c r="G206" s="14"/>
      <c r="H206" s="15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>
      <c r="A207" s="9"/>
      <c r="B207" s="9"/>
      <c r="C207" s="14"/>
      <c r="D207" s="14"/>
      <c r="E207" s="14"/>
      <c r="F207" s="14"/>
      <c r="G207" s="14"/>
      <c r="H207" s="15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>
      <c r="A208" s="9"/>
      <c r="B208" s="9"/>
      <c r="C208" s="14"/>
      <c r="D208" s="14"/>
      <c r="E208" s="14"/>
      <c r="F208" s="14"/>
      <c r="G208" s="14"/>
      <c r="H208" s="15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>
      <c r="A209" s="9"/>
      <c r="B209" s="9"/>
      <c r="C209" s="14"/>
      <c r="D209" s="14"/>
      <c r="E209" s="14"/>
      <c r="F209" s="14"/>
      <c r="G209" s="14"/>
      <c r="H209" s="15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>
      <c r="A210" s="9"/>
      <c r="B210" s="9"/>
      <c r="C210" s="14"/>
      <c r="D210" s="14"/>
      <c r="E210" s="14"/>
      <c r="F210" s="14"/>
      <c r="G210" s="14"/>
      <c r="H210" s="15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>
      <c r="A211" s="9"/>
      <c r="B211" s="9"/>
      <c r="C211" s="14"/>
      <c r="D211" s="14"/>
      <c r="E211" s="14"/>
      <c r="F211" s="14"/>
      <c r="G211" s="14"/>
      <c r="H211" s="1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>
      <c r="A212" s="9"/>
      <c r="B212" s="9"/>
      <c r="C212" s="14"/>
      <c r="D212" s="14"/>
      <c r="E212" s="14"/>
      <c r="F212" s="14"/>
      <c r="G212" s="14"/>
      <c r="H212" s="1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>
      <c r="A213" s="9"/>
      <c r="B213" s="9"/>
      <c r="C213" s="14"/>
      <c r="D213" s="14"/>
      <c r="E213" s="14"/>
      <c r="F213" s="14"/>
      <c r="G213" s="14"/>
      <c r="H213" s="15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>
      <c r="A214" s="9"/>
      <c r="B214" s="9"/>
      <c r="C214" s="14"/>
      <c r="D214" s="14"/>
      <c r="E214" s="14"/>
      <c r="F214" s="14"/>
      <c r="G214" s="14"/>
      <c r="H214" s="15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>
      <c r="A215" s="9"/>
      <c r="B215" s="9"/>
      <c r="C215" s="14"/>
      <c r="D215" s="14"/>
      <c r="E215" s="14"/>
      <c r="F215" s="14"/>
      <c r="G215" s="14"/>
      <c r="H215" s="1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>
      <c r="A216" s="9"/>
      <c r="B216" s="9"/>
      <c r="C216" s="14"/>
      <c r="D216" s="14"/>
      <c r="E216" s="14"/>
      <c r="F216" s="14"/>
      <c r="G216" s="14"/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>
      <c r="A217" s="9"/>
      <c r="B217" s="9"/>
      <c r="C217" s="14"/>
      <c r="D217" s="14"/>
      <c r="E217" s="14"/>
      <c r="F217" s="14"/>
      <c r="G217" s="14"/>
      <c r="H217" s="1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>
      <c r="A218" s="9"/>
      <c r="B218" s="9"/>
      <c r="C218" s="14"/>
      <c r="D218" s="14"/>
      <c r="E218" s="14"/>
      <c r="F218" s="14"/>
      <c r="G218" s="14"/>
      <c r="H218" s="15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>
      <c r="A219" s="9"/>
      <c r="B219" s="9"/>
      <c r="C219" s="14"/>
      <c r="D219" s="14"/>
      <c r="E219" s="14"/>
      <c r="F219" s="14"/>
      <c r="G219" s="14"/>
      <c r="H219" s="1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>
      <c r="A220" s="9"/>
      <c r="B220" s="9"/>
      <c r="C220" s="14"/>
      <c r="D220" s="14"/>
      <c r="E220" s="14"/>
      <c r="F220" s="14"/>
      <c r="G220" s="14"/>
      <c r="H220" s="1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>
      <c r="A221" s="9"/>
      <c r="B221" s="9"/>
      <c r="C221" s="14"/>
      <c r="D221" s="14"/>
      <c r="E221" s="14"/>
      <c r="F221" s="14"/>
      <c r="G221" s="14"/>
      <c r="H221" s="1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>
      <c r="A222" s="9"/>
      <c r="B222" s="9"/>
      <c r="C222" s="14"/>
      <c r="D222" s="14"/>
      <c r="E222" s="14"/>
      <c r="F222" s="14"/>
      <c r="G222" s="14"/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>
      <c r="A223" s="9"/>
      <c r="B223" s="9"/>
      <c r="C223" s="14"/>
      <c r="D223" s="14"/>
      <c r="E223" s="14"/>
      <c r="F223" s="14"/>
      <c r="G223" s="14"/>
      <c r="H223" s="1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>
      <c r="A224" s="9"/>
      <c r="B224" s="9"/>
      <c r="C224" s="14"/>
      <c r="D224" s="14"/>
      <c r="E224" s="14"/>
      <c r="F224" s="14"/>
      <c r="G224" s="14"/>
      <c r="H224" s="1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>
      <c r="A225" s="9"/>
      <c r="B225" s="9"/>
      <c r="C225" s="14"/>
      <c r="D225" s="14"/>
      <c r="E225" s="14"/>
      <c r="F225" s="14"/>
      <c r="G225" s="14"/>
      <c r="H225" s="1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>
      <c r="A226" s="9"/>
      <c r="B226" s="9"/>
      <c r="C226" s="14"/>
      <c r="D226" s="14"/>
      <c r="E226" s="14"/>
      <c r="F226" s="14"/>
      <c r="G226" s="14"/>
      <c r="H226" s="1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>
      <c r="A227" s="9"/>
      <c r="B227" s="9"/>
      <c r="C227" s="14"/>
      <c r="D227" s="14"/>
      <c r="E227" s="14"/>
      <c r="F227" s="14"/>
      <c r="G227" s="14"/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>
      <c r="A228" s="9"/>
      <c r="B228" s="9"/>
      <c r="C228" s="14"/>
      <c r="D228" s="14"/>
      <c r="E228" s="14"/>
      <c r="F228" s="14"/>
      <c r="G228" s="14"/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>
      <c r="A229" s="9"/>
      <c r="B229" s="9"/>
      <c r="C229" s="14"/>
      <c r="D229" s="14"/>
      <c r="E229" s="14"/>
      <c r="F229" s="14"/>
      <c r="G229" s="14"/>
      <c r="H229" s="15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>
      <c r="A230" s="9"/>
      <c r="B230" s="9"/>
      <c r="C230" s="14"/>
      <c r="D230" s="14"/>
      <c r="E230" s="14"/>
      <c r="F230" s="14"/>
      <c r="G230" s="14"/>
      <c r="H230" s="1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>
      <c r="A231" s="9"/>
      <c r="B231" s="9"/>
      <c r="C231" s="14"/>
      <c r="D231" s="14"/>
      <c r="E231" s="14"/>
      <c r="F231" s="14"/>
      <c r="G231" s="14"/>
      <c r="H231" s="1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>
      <c r="A232" s="9"/>
      <c r="B232" s="9"/>
      <c r="C232" s="14"/>
      <c r="D232" s="14"/>
      <c r="E232" s="14"/>
      <c r="F232" s="14"/>
      <c r="G232" s="14"/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>
      <c r="A233" s="9"/>
      <c r="B233" s="9"/>
      <c r="C233" s="14"/>
      <c r="D233" s="14"/>
      <c r="E233" s="14"/>
      <c r="F233" s="14"/>
      <c r="G233" s="14"/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>
      <c r="A234" s="9"/>
      <c r="B234" s="9"/>
      <c r="C234" s="14"/>
      <c r="D234" s="14"/>
      <c r="E234" s="14"/>
      <c r="F234" s="14"/>
      <c r="G234" s="14"/>
      <c r="H234" s="1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>
      <c r="A235" s="9"/>
      <c r="B235" s="9"/>
      <c r="C235" s="14"/>
      <c r="D235" s="14"/>
      <c r="E235" s="14"/>
      <c r="F235" s="14"/>
      <c r="G235" s="14"/>
      <c r="H235" s="15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>
      <c r="A236" s="9"/>
      <c r="B236" s="9"/>
      <c r="C236" s="14"/>
      <c r="D236" s="14"/>
      <c r="E236" s="14"/>
      <c r="F236" s="14"/>
      <c r="G236" s="14"/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>
      <c r="A237" s="9"/>
      <c r="B237" s="9"/>
      <c r="C237" s="14"/>
      <c r="D237" s="14"/>
      <c r="E237" s="14"/>
      <c r="F237" s="14"/>
      <c r="G237" s="14"/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>
      <c r="A238" s="9"/>
      <c r="B238" s="9"/>
      <c r="C238" s="14"/>
      <c r="D238" s="14"/>
      <c r="E238" s="14"/>
      <c r="F238" s="14"/>
      <c r="G238" s="14"/>
      <c r="H238" s="1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>
      <c r="A239" s="9"/>
      <c r="B239" s="9"/>
      <c r="C239" s="14"/>
      <c r="D239" s="14"/>
      <c r="E239" s="14"/>
      <c r="F239" s="14"/>
      <c r="G239" s="14"/>
      <c r="H239" s="1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>
      <c r="A240" s="9"/>
      <c r="B240" s="9"/>
      <c r="C240" s="14"/>
      <c r="D240" s="14"/>
      <c r="E240" s="14"/>
      <c r="F240" s="14"/>
      <c r="G240" s="14"/>
      <c r="H240" s="1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>
      <c r="A241" s="9"/>
      <c r="B241" s="9"/>
      <c r="C241" s="14"/>
      <c r="D241" s="14"/>
      <c r="E241" s="14"/>
      <c r="F241" s="14"/>
      <c r="G241" s="14"/>
      <c r="H241" s="15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>
      <c r="A242" s="9"/>
      <c r="B242" s="9"/>
      <c r="C242" s="14"/>
      <c r="D242" s="14"/>
      <c r="E242" s="14"/>
      <c r="F242" s="14"/>
      <c r="G242" s="14"/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>
      <c r="A243" s="9"/>
      <c r="B243" s="9"/>
      <c r="C243" s="14"/>
      <c r="D243" s="14"/>
      <c r="E243" s="14"/>
      <c r="F243" s="14"/>
      <c r="G243" s="14"/>
      <c r="H243" s="1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>
      <c r="A244" s="9"/>
      <c r="B244" s="9"/>
      <c r="C244" s="14"/>
      <c r="D244" s="14"/>
      <c r="E244" s="14"/>
      <c r="F244" s="14"/>
      <c r="G244" s="14"/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>
      <c r="A245" s="9"/>
      <c r="B245" s="9"/>
      <c r="C245" s="14"/>
      <c r="D245" s="14"/>
      <c r="E245" s="14"/>
      <c r="F245" s="14"/>
      <c r="G245" s="14"/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>
      <c r="A246" s="9"/>
      <c r="B246" s="9"/>
      <c r="C246" s="14"/>
      <c r="D246" s="14"/>
      <c r="E246" s="14"/>
      <c r="F246" s="14"/>
      <c r="G246" s="14"/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>
      <c r="A247" s="9"/>
      <c r="B247" s="9"/>
      <c r="C247" s="14"/>
      <c r="D247" s="14"/>
      <c r="E247" s="14"/>
      <c r="F247" s="14"/>
      <c r="G247" s="14"/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>
      <c r="A248" s="9"/>
      <c r="B248" s="9"/>
      <c r="C248" s="14"/>
      <c r="D248" s="14"/>
      <c r="E248" s="14"/>
      <c r="F248" s="14"/>
      <c r="G248" s="14"/>
      <c r="H248" s="1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>
      <c r="A249" s="9"/>
      <c r="B249" s="9"/>
      <c r="C249" s="14"/>
      <c r="D249" s="14"/>
      <c r="E249" s="14"/>
      <c r="F249" s="14"/>
      <c r="G249" s="14"/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>
      <c r="A250" s="9"/>
      <c r="B250" s="9"/>
      <c r="C250" s="14"/>
      <c r="D250" s="14"/>
      <c r="E250" s="14"/>
      <c r="F250" s="14"/>
      <c r="G250" s="14"/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>
      <c r="A251" s="9"/>
      <c r="B251" s="9"/>
      <c r="C251" s="14"/>
      <c r="D251" s="14"/>
      <c r="E251" s="14"/>
      <c r="F251" s="14"/>
      <c r="G251" s="14"/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>
      <c r="A252" s="9"/>
      <c r="B252" s="9"/>
      <c r="C252" s="14"/>
      <c r="D252" s="14"/>
      <c r="E252" s="14"/>
      <c r="F252" s="14"/>
      <c r="G252" s="14"/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>
      <c r="A253" s="9"/>
      <c r="B253" s="9"/>
      <c r="C253" s="14"/>
      <c r="D253" s="14"/>
      <c r="E253" s="14"/>
      <c r="F253" s="14"/>
      <c r="G253" s="14"/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>
      <c r="A254" s="9"/>
      <c r="B254" s="9"/>
      <c r="C254" s="14"/>
      <c r="D254" s="14"/>
      <c r="E254" s="14"/>
      <c r="F254" s="14"/>
      <c r="G254" s="14"/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>
      <c r="A255" s="9"/>
      <c r="B255" s="9"/>
      <c r="C255" s="14"/>
      <c r="D255" s="14"/>
      <c r="E255" s="14"/>
      <c r="F255" s="14"/>
      <c r="G255" s="14"/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>
      <c r="A256" s="9"/>
      <c r="B256" s="9"/>
      <c r="C256" s="14"/>
      <c r="D256" s="14"/>
      <c r="E256" s="14"/>
      <c r="F256" s="14"/>
      <c r="G256" s="14"/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>
      <c r="A257" s="9"/>
      <c r="B257" s="9"/>
      <c r="C257" s="14"/>
      <c r="D257" s="14"/>
      <c r="E257" s="14"/>
      <c r="F257" s="14"/>
      <c r="G257" s="14"/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>
      <c r="A258" s="9"/>
      <c r="B258" s="9"/>
      <c r="C258" s="14"/>
      <c r="D258" s="14"/>
      <c r="E258" s="14"/>
      <c r="F258" s="14"/>
      <c r="G258" s="14"/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>
      <c r="A259" s="9"/>
      <c r="B259" s="9"/>
      <c r="C259" s="14"/>
      <c r="D259" s="14"/>
      <c r="E259" s="14"/>
      <c r="F259" s="14"/>
      <c r="G259" s="14"/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>
      <c r="A260" s="9"/>
      <c r="B260" s="9"/>
      <c r="C260" s="14"/>
      <c r="D260" s="14"/>
      <c r="E260" s="14"/>
      <c r="F260" s="14"/>
      <c r="G260" s="14"/>
      <c r="H260" s="15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>
      <c r="A261" s="9"/>
      <c r="B261" s="9"/>
      <c r="C261" s="14"/>
      <c r="D261" s="14"/>
      <c r="E261" s="14"/>
      <c r="F261" s="14"/>
      <c r="G261" s="14"/>
      <c r="H261" s="15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>
      <c r="A262" s="9"/>
      <c r="B262" s="9"/>
      <c r="C262" s="14"/>
      <c r="D262" s="14"/>
      <c r="E262" s="14"/>
      <c r="F262" s="14"/>
      <c r="G262" s="14"/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>
      <c r="A263" s="9"/>
      <c r="B263" s="9"/>
      <c r="C263" s="14"/>
      <c r="D263" s="14"/>
      <c r="E263" s="14"/>
      <c r="F263" s="14"/>
      <c r="G263" s="14"/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>
      <c r="A264" s="9"/>
      <c r="B264" s="9"/>
      <c r="C264" s="14"/>
      <c r="D264" s="14"/>
      <c r="E264" s="14"/>
      <c r="F264" s="14"/>
      <c r="G264" s="14"/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>
      <c r="A265" s="9"/>
      <c r="B265" s="9"/>
      <c r="C265" s="14"/>
      <c r="D265" s="14"/>
      <c r="E265" s="14"/>
      <c r="F265" s="14"/>
      <c r="G265" s="14"/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>
      <c r="A266" s="9"/>
      <c r="B266" s="9"/>
      <c r="C266" s="14"/>
      <c r="D266" s="14"/>
      <c r="E266" s="14"/>
      <c r="F266" s="14"/>
      <c r="G266" s="14"/>
      <c r="H266" s="1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>
      <c r="A267" s="9"/>
      <c r="B267" s="9"/>
      <c r="C267" s="14"/>
      <c r="D267" s="14"/>
      <c r="E267" s="14"/>
      <c r="F267" s="14"/>
      <c r="G267" s="14"/>
      <c r="H267" s="1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>
      <c r="A268" s="9"/>
      <c r="B268" s="9"/>
      <c r="C268" s="14"/>
      <c r="D268" s="14"/>
      <c r="E268" s="14"/>
      <c r="F268" s="14"/>
      <c r="G268" s="14"/>
      <c r="H268" s="1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>
      <c r="A269" s="9"/>
      <c r="B269" s="9"/>
      <c r="C269" s="14"/>
      <c r="D269" s="14"/>
      <c r="E269" s="14"/>
      <c r="F269" s="14"/>
      <c r="G269" s="14"/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>
      <c r="A270" s="9"/>
      <c r="B270" s="9"/>
      <c r="C270" s="14"/>
      <c r="D270" s="14"/>
      <c r="E270" s="14"/>
      <c r="F270" s="14"/>
      <c r="G270" s="14"/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>
      <c r="A271" s="9"/>
      <c r="B271" s="9"/>
      <c r="C271" s="14"/>
      <c r="D271" s="14"/>
      <c r="E271" s="14"/>
      <c r="F271" s="14"/>
      <c r="G271" s="14"/>
      <c r="H271" s="1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>
      <c r="A272" s="9"/>
      <c r="B272" s="9"/>
      <c r="C272" s="14"/>
      <c r="D272" s="14"/>
      <c r="E272" s="14"/>
      <c r="F272" s="14"/>
      <c r="G272" s="14"/>
      <c r="H272" s="15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>
      <c r="A273" s="9"/>
      <c r="B273" s="9"/>
      <c r="C273" s="14"/>
      <c r="D273" s="14"/>
      <c r="E273" s="14"/>
      <c r="F273" s="14"/>
      <c r="G273" s="14"/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>
      <c r="A274" s="9"/>
      <c r="B274" s="9"/>
      <c r="C274" s="14"/>
      <c r="D274" s="14"/>
      <c r="E274" s="14"/>
      <c r="F274" s="14"/>
      <c r="G274" s="14"/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>
      <c r="A275" s="9"/>
      <c r="B275" s="9"/>
      <c r="C275" s="14"/>
      <c r="D275" s="14"/>
      <c r="E275" s="14"/>
      <c r="F275" s="14"/>
      <c r="G275" s="14"/>
      <c r="H275" s="15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>
      <c r="A276" s="9"/>
      <c r="B276" s="9"/>
      <c r="C276" s="14"/>
      <c r="D276" s="14"/>
      <c r="E276" s="14"/>
      <c r="F276" s="14"/>
      <c r="G276" s="14"/>
      <c r="H276" s="15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>
      <c r="A277" s="9"/>
      <c r="B277" s="9"/>
      <c r="C277" s="14"/>
      <c r="D277" s="14"/>
      <c r="E277" s="14"/>
      <c r="F277" s="14"/>
      <c r="G277" s="14"/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>
      <c r="A278" s="9"/>
      <c r="B278" s="9"/>
      <c r="C278" s="14"/>
      <c r="D278" s="14"/>
      <c r="E278" s="14"/>
      <c r="F278" s="14"/>
      <c r="G278" s="14"/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>
      <c r="A279" s="9"/>
      <c r="B279" s="9"/>
      <c r="C279" s="14"/>
      <c r="D279" s="14"/>
      <c r="E279" s="14"/>
      <c r="F279" s="14"/>
      <c r="G279" s="14"/>
      <c r="H279" s="1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>
      <c r="A280" s="9"/>
      <c r="B280" s="9"/>
      <c r="C280" s="14"/>
      <c r="D280" s="14"/>
      <c r="E280" s="14"/>
      <c r="F280" s="14"/>
      <c r="G280" s="14"/>
      <c r="H280" s="15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>
      <c r="A281" s="9"/>
      <c r="B281" s="9"/>
      <c r="C281" s="14"/>
      <c r="D281" s="14"/>
      <c r="E281" s="14"/>
      <c r="F281" s="14"/>
      <c r="G281" s="14"/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>
      <c r="A282" s="9"/>
      <c r="B282" s="9"/>
      <c r="C282" s="14"/>
      <c r="D282" s="14"/>
      <c r="E282" s="14"/>
      <c r="F282" s="14"/>
      <c r="G282" s="14"/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>
      <c r="A283" s="9"/>
      <c r="B283" s="9"/>
      <c r="C283" s="14"/>
      <c r="D283" s="14"/>
      <c r="E283" s="14"/>
      <c r="F283" s="14"/>
      <c r="G283" s="14"/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>
      <c r="A284" s="9"/>
      <c r="B284" s="9"/>
      <c r="C284" s="14"/>
      <c r="D284" s="14"/>
      <c r="E284" s="14"/>
      <c r="F284" s="14"/>
      <c r="G284" s="14"/>
      <c r="H284" s="15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>
      <c r="A285" s="9"/>
      <c r="B285" s="9"/>
      <c r="C285" s="14"/>
      <c r="D285" s="14"/>
      <c r="E285" s="14"/>
      <c r="F285" s="14"/>
      <c r="G285" s="14"/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>
      <c r="A286" s="9"/>
      <c r="B286" s="9"/>
      <c r="C286" s="14"/>
      <c r="D286" s="14"/>
      <c r="E286" s="14"/>
      <c r="F286" s="14"/>
      <c r="G286" s="14"/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>
      <c r="A287" s="9"/>
      <c r="B287" s="9"/>
      <c r="C287" s="14"/>
      <c r="D287" s="14"/>
      <c r="E287" s="14"/>
      <c r="F287" s="14"/>
      <c r="G287" s="14"/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>
      <c r="A288" s="9"/>
      <c r="B288" s="9"/>
      <c r="C288" s="14"/>
      <c r="D288" s="14"/>
      <c r="E288" s="14"/>
      <c r="F288" s="14"/>
      <c r="G288" s="14"/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>
      <c r="A289" s="9"/>
      <c r="B289" s="9"/>
      <c r="C289" s="14"/>
      <c r="D289" s="14"/>
      <c r="E289" s="14"/>
      <c r="F289" s="14"/>
      <c r="G289" s="14"/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>
      <c r="A290" s="9"/>
      <c r="B290" s="9"/>
      <c r="C290" s="14"/>
      <c r="D290" s="14"/>
      <c r="E290" s="14"/>
      <c r="F290" s="14"/>
      <c r="G290" s="14"/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>
      <c r="A291" s="9"/>
      <c r="B291" s="9"/>
      <c r="C291" s="14"/>
      <c r="D291" s="14"/>
      <c r="E291" s="14"/>
      <c r="F291" s="14"/>
      <c r="G291" s="14"/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>
      <c r="A292" s="9"/>
      <c r="B292" s="9"/>
      <c r="C292" s="14"/>
      <c r="D292" s="14"/>
      <c r="E292" s="14"/>
      <c r="F292" s="14"/>
      <c r="G292" s="14"/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>
      <c r="A293" s="9"/>
      <c r="B293" s="9"/>
      <c r="C293" s="14"/>
      <c r="D293" s="14"/>
      <c r="E293" s="14"/>
      <c r="F293" s="14"/>
      <c r="G293" s="14"/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>
      <c r="A294" s="9"/>
      <c r="B294" s="9"/>
      <c r="C294" s="14"/>
      <c r="D294" s="14"/>
      <c r="E294" s="14"/>
      <c r="F294" s="14"/>
      <c r="G294" s="14"/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>
      <c r="A295" s="9"/>
      <c r="B295" s="9"/>
      <c r="C295" s="14"/>
      <c r="D295" s="14"/>
      <c r="E295" s="14"/>
      <c r="F295" s="14"/>
      <c r="G295" s="14"/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>
      <c r="A296" s="9"/>
      <c r="B296" s="9"/>
      <c r="C296" s="14"/>
      <c r="D296" s="14"/>
      <c r="E296" s="14"/>
      <c r="F296" s="14"/>
      <c r="G296" s="14"/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>
      <c r="A297" s="9"/>
      <c r="B297" s="9"/>
      <c r="C297" s="14"/>
      <c r="D297" s="14"/>
      <c r="E297" s="14"/>
      <c r="F297" s="14"/>
      <c r="G297" s="14"/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>
      <c r="A298" s="9"/>
      <c r="B298" s="9"/>
      <c r="C298" s="14"/>
      <c r="D298" s="14"/>
      <c r="E298" s="14"/>
      <c r="F298" s="14"/>
      <c r="G298" s="14"/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>
      <c r="A299" s="9"/>
      <c r="B299" s="9"/>
      <c r="C299" s="14"/>
      <c r="D299" s="14"/>
      <c r="E299" s="14"/>
      <c r="F299" s="14"/>
      <c r="G299" s="14"/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>
      <c r="A300" s="9"/>
      <c r="B300" s="9"/>
      <c r="C300" s="14"/>
      <c r="D300" s="14"/>
      <c r="E300" s="14"/>
      <c r="F300" s="14"/>
      <c r="G300" s="14"/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>
      <c r="A301" s="9"/>
      <c r="B301" s="9"/>
      <c r="C301" s="14"/>
      <c r="D301" s="14"/>
      <c r="E301" s="14"/>
      <c r="F301" s="14"/>
      <c r="G301" s="14"/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>
      <c r="A302" s="9"/>
      <c r="B302" s="9"/>
      <c r="C302" s="14"/>
      <c r="D302" s="14"/>
      <c r="E302" s="14"/>
      <c r="F302" s="14"/>
      <c r="G302" s="14"/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>
      <c r="A303" s="9"/>
      <c r="B303" s="9"/>
      <c r="C303" s="14"/>
      <c r="D303" s="14"/>
      <c r="E303" s="14"/>
      <c r="F303" s="14"/>
      <c r="G303" s="14"/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>
      <c r="A304" s="9"/>
      <c r="B304" s="9"/>
      <c r="C304" s="14"/>
      <c r="D304" s="14"/>
      <c r="E304" s="14"/>
      <c r="F304" s="14"/>
      <c r="G304" s="14"/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>
      <c r="A305" s="9"/>
      <c r="B305" s="9"/>
      <c r="C305" s="14"/>
      <c r="D305" s="14"/>
      <c r="E305" s="14"/>
      <c r="F305" s="14"/>
      <c r="G305" s="14"/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>
      <c r="A306" s="9"/>
      <c r="B306" s="9"/>
      <c r="C306" s="14"/>
      <c r="D306" s="14"/>
      <c r="E306" s="14"/>
      <c r="F306" s="14"/>
      <c r="G306" s="14"/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>
      <c r="A307" s="9"/>
      <c r="B307" s="9"/>
      <c r="C307" s="14"/>
      <c r="D307" s="14"/>
      <c r="E307" s="14"/>
      <c r="F307" s="14"/>
      <c r="G307" s="14"/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>
      <c r="A308" s="9"/>
      <c r="B308" s="9"/>
      <c r="C308" s="14"/>
      <c r="D308" s="14"/>
      <c r="E308" s="14"/>
      <c r="F308" s="14"/>
      <c r="G308" s="14"/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>
      <c r="A309" s="9"/>
      <c r="B309" s="9"/>
      <c r="C309" s="14"/>
      <c r="D309" s="14"/>
      <c r="E309" s="14"/>
      <c r="F309" s="14"/>
      <c r="G309" s="14"/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>
      <c r="A310" s="9"/>
      <c r="B310" s="9"/>
      <c r="C310" s="14"/>
      <c r="D310" s="14"/>
      <c r="E310" s="14"/>
      <c r="F310" s="14"/>
      <c r="G310" s="14"/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>
      <c r="A311" s="9"/>
      <c r="B311" s="9"/>
      <c r="C311" s="14"/>
      <c r="D311" s="14"/>
      <c r="E311" s="14"/>
      <c r="F311" s="14"/>
      <c r="G311" s="14"/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>
      <c r="A312" s="9"/>
      <c r="B312" s="9"/>
      <c r="C312" s="14"/>
      <c r="D312" s="14"/>
      <c r="E312" s="14"/>
      <c r="F312" s="14"/>
      <c r="G312" s="14"/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>
      <c r="A313" s="9"/>
      <c r="B313" s="9"/>
      <c r="C313" s="14"/>
      <c r="D313" s="14"/>
      <c r="E313" s="14"/>
      <c r="F313" s="14"/>
      <c r="G313" s="14"/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>
      <c r="A314" s="9"/>
      <c r="B314" s="9"/>
      <c r="C314" s="14"/>
      <c r="D314" s="14"/>
      <c r="E314" s="14"/>
      <c r="F314" s="14"/>
      <c r="G314" s="14"/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>
      <c r="A315" s="9"/>
      <c r="B315" s="9"/>
      <c r="C315" s="14"/>
      <c r="D315" s="14"/>
      <c r="E315" s="14"/>
      <c r="F315" s="14"/>
      <c r="G315" s="14"/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>
      <c r="A316" s="9"/>
      <c r="B316" s="9"/>
      <c r="C316" s="14"/>
      <c r="D316" s="14"/>
      <c r="E316" s="14"/>
      <c r="F316" s="14"/>
      <c r="G316" s="14"/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>
      <c r="A317" s="9"/>
      <c r="B317" s="9"/>
      <c r="C317" s="14"/>
      <c r="D317" s="14"/>
      <c r="E317" s="14"/>
      <c r="F317" s="14"/>
      <c r="G317" s="14"/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>
      <c r="A318" s="9"/>
      <c r="B318" s="9"/>
      <c r="C318" s="14"/>
      <c r="D318" s="14"/>
      <c r="E318" s="14"/>
      <c r="F318" s="14"/>
      <c r="G318" s="14"/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>
      <c r="A319" s="9"/>
      <c r="B319" s="9"/>
      <c r="C319" s="14"/>
      <c r="D319" s="14"/>
      <c r="E319" s="14"/>
      <c r="F319" s="14"/>
      <c r="G319" s="14"/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>
      <c r="A320" s="9"/>
      <c r="B320" s="9"/>
      <c r="C320" s="14"/>
      <c r="D320" s="14"/>
      <c r="E320" s="14"/>
      <c r="F320" s="14"/>
      <c r="G320" s="14"/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>
      <c r="A321" s="9"/>
      <c r="B321" s="9"/>
      <c r="C321" s="14"/>
      <c r="D321" s="14"/>
      <c r="E321" s="14"/>
      <c r="F321" s="14"/>
      <c r="G321" s="14"/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>
      <c r="A322" s="9"/>
      <c r="B322" s="9"/>
      <c r="C322" s="14"/>
      <c r="D322" s="14"/>
      <c r="E322" s="14"/>
      <c r="F322" s="14"/>
      <c r="G322" s="14"/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>
      <c r="A323" s="9"/>
      <c r="B323" s="9"/>
      <c r="C323" s="14"/>
      <c r="D323" s="14"/>
      <c r="E323" s="14"/>
      <c r="F323" s="14"/>
      <c r="G323" s="14"/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>
      <c r="A324" s="9"/>
      <c r="B324" s="9"/>
      <c r="C324" s="14"/>
      <c r="D324" s="14"/>
      <c r="E324" s="14"/>
      <c r="F324" s="14"/>
      <c r="G324" s="14"/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>
      <c r="A325" s="9"/>
      <c r="B325" s="9"/>
      <c r="C325" s="14"/>
      <c r="D325" s="14"/>
      <c r="E325" s="14"/>
      <c r="F325" s="14"/>
      <c r="G325" s="14"/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>
      <c r="A326" s="9"/>
      <c r="B326" s="9"/>
      <c r="C326" s="14"/>
      <c r="D326" s="14"/>
      <c r="E326" s="14"/>
      <c r="F326" s="14"/>
      <c r="G326" s="14"/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>
      <c r="A327" s="9"/>
      <c r="B327" s="9"/>
      <c r="C327" s="14"/>
      <c r="D327" s="14"/>
      <c r="E327" s="14"/>
      <c r="F327" s="14"/>
      <c r="G327" s="14"/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>
      <c r="A328" s="9"/>
      <c r="B328" s="9"/>
      <c r="C328" s="14"/>
      <c r="D328" s="14"/>
      <c r="E328" s="14"/>
      <c r="F328" s="14"/>
      <c r="G328" s="14"/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>
      <c r="A329" s="9"/>
      <c r="B329" s="9"/>
      <c r="C329" s="14"/>
      <c r="D329" s="14"/>
      <c r="E329" s="14"/>
      <c r="F329" s="14"/>
      <c r="G329" s="14"/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>
      <c r="A330" s="9"/>
      <c r="B330" s="9"/>
      <c r="C330" s="14"/>
      <c r="D330" s="14"/>
      <c r="E330" s="14"/>
      <c r="F330" s="14"/>
      <c r="G330" s="14"/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>
      <c r="A331" s="9"/>
      <c r="B331" s="9"/>
      <c r="C331" s="14"/>
      <c r="D331" s="14"/>
      <c r="E331" s="14"/>
      <c r="F331" s="14"/>
      <c r="G331" s="14"/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>
      <c r="A332" s="9"/>
      <c r="B332" s="9"/>
      <c r="C332" s="14"/>
      <c r="D332" s="14"/>
      <c r="E332" s="14"/>
      <c r="F332" s="14"/>
      <c r="G332" s="14"/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>
      <c r="A333" s="9"/>
      <c r="B333" s="9"/>
      <c r="C333" s="14"/>
      <c r="D333" s="14"/>
      <c r="E333" s="14"/>
      <c r="F333" s="14"/>
      <c r="G333" s="14"/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>
      <c r="A334" s="9"/>
      <c r="B334" s="9"/>
      <c r="C334" s="14"/>
      <c r="D334" s="14"/>
      <c r="E334" s="14"/>
      <c r="F334" s="14"/>
      <c r="G334" s="14"/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>
      <c r="A335" s="9"/>
      <c r="B335" s="9"/>
      <c r="C335" s="14"/>
      <c r="D335" s="14"/>
      <c r="E335" s="14"/>
      <c r="F335" s="14"/>
      <c r="G335" s="14"/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>
      <c r="A336" s="9"/>
      <c r="B336" s="9"/>
      <c r="C336" s="14"/>
      <c r="D336" s="14"/>
      <c r="E336" s="14"/>
      <c r="F336" s="14"/>
      <c r="G336" s="14"/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>
      <c r="A337" s="9"/>
      <c r="B337" s="9"/>
      <c r="C337" s="14"/>
      <c r="D337" s="14"/>
      <c r="E337" s="14"/>
      <c r="F337" s="14"/>
      <c r="G337" s="14"/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>
      <c r="A338" s="9"/>
      <c r="B338" s="9"/>
      <c r="C338" s="14"/>
      <c r="D338" s="14"/>
      <c r="E338" s="14"/>
      <c r="F338" s="14"/>
      <c r="G338" s="14"/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>
      <c r="A339" s="9"/>
      <c r="B339" s="9"/>
      <c r="C339" s="14"/>
      <c r="D339" s="14"/>
      <c r="E339" s="14"/>
      <c r="F339" s="14"/>
      <c r="G339" s="14"/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>
      <c r="A340" s="9"/>
      <c r="B340" s="9"/>
      <c r="C340" s="14"/>
      <c r="D340" s="14"/>
      <c r="E340" s="14"/>
      <c r="F340" s="14"/>
      <c r="G340" s="14"/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>
      <c r="A341" s="9"/>
      <c r="B341" s="9"/>
      <c r="C341" s="14"/>
      <c r="D341" s="14"/>
      <c r="E341" s="14"/>
      <c r="F341" s="14"/>
      <c r="G341" s="14"/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>
      <c r="A342" s="9"/>
      <c r="B342" s="9"/>
      <c r="C342" s="14"/>
      <c r="D342" s="14"/>
      <c r="E342" s="14"/>
      <c r="F342" s="14"/>
      <c r="G342" s="14"/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>
      <c r="A343" s="9"/>
      <c r="B343" s="9"/>
      <c r="C343" s="14"/>
      <c r="D343" s="14"/>
      <c r="E343" s="14"/>
      <c r="F343" s="14"/>
      <c r="G343" s="14"/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>
      <c r="A344" s="9"/>
      <c r="B344" s="9"/>
      <c r="C344" s="14"/>
      <c r="D344" s="14"/>
      <c r="E344" s="14"/>
      <c r="F344" s="14"/>
      <c r="G344" s="14"/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>
      <c r="A345" s="9"/>
      <c r="B345" s="9"/>
      <c r="C345" s="14"/>
      <c r="D345" s="14"/>
      <c r="E345" s="14"/>
      <c r="F345" s="14"/>
      <c r="G345" s="14"/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>
      <c r="A346" s="9"/>
      <c r="B346" s="9"/>
      <c r="C346" s="14"/>
      <c r="D346" s="14"/>
      <c r="E346" s="14"/>
      <c r="F346" s="14"/>
      <c r="G346" s="14"/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>
      <c r="A347" s="9"/>
      <c r="B347" s="9"/>
      <c r="C347" s="14"/>
      <c r="D347" s="14"/>
      <c r="E347" s="14"/>
      <c r="F347" s="14"/>
      <c r="G347" s="14"/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>
      <c r="A348" s="9"/>
      <c r="B348" s="9"/>
      <c r="C348" s="14"/>
      <c r="D348" s="14"/>
      <c r="E348" s="14"/>
      <c r="F348" s="14"/>
      <c r="G348" s="14"/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>
      <c r="A349" s="9"/>
      <c r="B349" s="9"/>
      <c r="C349" s="14"/>
      <c r="D349" s="14"/>
      <c r="E349" s="14"/>
      <c r="F349" s="14"/>
      <c r="G349" s="14"/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>
      <c r="A350" s="9"/>
      <c r="B350" s="9"/>
      <c r="C350" s="14"/>
      <c r="D350" s="14"/>
      <c r="E350" s="14"/>
      <c r="F350" s="14"/>
      <c r="G350" s="14"/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>
      <c r="A351" s="9"/>
      <c r="B351" s="9"/>
      <c r="C351" s="14"/>
      <c r="D351" s="14"/>
      <c r="E351" s="14"/>
      <c r="F351" s="14"/>
      <c r="G351" s="14"/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>
      <c r="A352" s="9"/>
      <c r="B352" s="9"/>
      <c r="C352" s="14"/>
      <c r="D352" s="14"/>
      <c r="E352" s="14"/>
      <c r="F352" s="14"/>
      <c r="G352" s="14"/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>
      <c r="A353" s="9"/>
      <c r="B353" s="9"/>
      <c r="C353" s="14"/>
      <c r="D353" s="14"/>
      <c r="E353" s="14"/>
      <c r="F353" s="14"/>
      <c r="G353" s="14"/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>
      <c r="A354" s="9"/>
      <c r="B354" s="9"/>
      <c r="C354" s="14"/>
      <c r="D354" s="14"/>
      <c r="E354" s="14"/>
      <c r="F354" s="14"/>
      <c r="G354" s="14"/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>
      <c r="A355" s="9"/>
      <c r="B355" s="9"/>
      <c r="C355" s="14"/>
      <c r="D355" s="14"/>
      <c r="E355" s="14"/>
      <c r="F355" s="14"/>
      <c r="G355" s="14"/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>
      <c r="A356" s="9"/>
      <c r="B356" s="9"/>
      <c r="C356" s="14"/>
      <c r="D356" s="14"/>
      <c r="E356" s="14"/>
      <c r="F356" s="14"/>
      <c r="G356" s="14"/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>
      <c r="A357" s="9"/>
      <c r="B357" s="9"/>
      <c r="C357" s="14"/>
      <c r="D357" s="14"/>
      <c r="E357" s="14"/>
      <c r="F357" s="14"/>
      <c r="G357" s="14"/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>
      <c r="A358" s="9"/>
      <c r="B358" s="9"/>
      <c r="C358" s="14"/>
      <c r="D358" s="14"/>
      <c r="E358" s="14"/>
      <c r="F358" s="14"/>
      <c r="G358" s="14"/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>
      <c r="A359" s="9"/>
      <c r="B359" s="9"/>
      <c r="C359" s="14"/>
      <c r="D359" s="14"/>
      <c r="E359" s="14"/>
      <c r="F359" s="14"/>
      <c r="G359" s="14"/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>
      <c r="A360" s="9"/>
      <c r="B360" s="9"/>
      <c r="C360" s="14"/>
      <c r="D360" s="14"/>
      <c r="E360" s="14"/>
      <c r="F360" s="14"/>
      <c r="G360" s="14"/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>
      <c r="A361" s="9"/>
      <c r="B361" s="9"/>
      <c r="C361" s="14"/>
      <c r="D361" s="14"/>
      <c r="E361" s="14"/>
      <c r="F361" s="14"/>
      <c r="G361" s="14"/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>
      <c r="A362" s="9"/>
      <c r="B362" s="9"/>
      <c r="C362" s="14"/>
      <c r="D362" s="14"/>
      <c r="E362" s="14"/>
      <c r="F362" s="14"/>
      <c r="G362" s="14"/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>
      <c r="A363" s="9"/>
      <c r="B363" s="9"/>
      <c r="C363" s="14"/>
      <c r="D363" s="14"/>
      <c r="E363" s="14"/>
      <c r="F363" s="14"/>
      <c r="G363" s="14"/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>
      <c r="A364" s="9"/>
      <c r="B364" s="9"/>
      <c r="C364" s="14"/>
      <c r="D364" s="14"/>
      <c r="E364" s="14"/>
      <c r="F364" s="14"/>
      <c r="G364" s="14"/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>
      <c r="A365" s="9"/>
      <c r="B365" s="9"/>
      <c r="C365" s="14"/>
      <c r="D365" s="14"/>
      <c r="E365" s="14"/>
      <c r="F365" s="14"/>
      <c r="G365" s="14"/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>
      <c r="A366" s="9"/>
      <c r="B366" s="9"/>
      <c r="C366" s="14"/>
      <c r="D366" s="14"/>
      <c r="E366" s="14"/>
      <c r="F366" s="14"/>
      <c r="G366" s="14"/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>
      <c r="A367" s="9"/>
      <c r="B367" s="9"/>
      <c r="C367" s="14"/>
      <c r="D367" s="14"/>
      <c r="E367" s="14"/>
      <c r="F367" s="14"/>
      <c r="G367" s="14"/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>
      <c r="A368" s="9"/>
      <c r="B368" s="9"/>
      <c r="C368" s="14"/>
      <c r="D368" s="14"/>
      <c r="E368" s="14"/>
      <c r="F368" s="14"/>
      <c r="G368" s="14"/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>
      <c r="A369" s="9"/>
      <c r="B369" s="9"/>
      <c r="C369" s="14"/>
      <c r="D369" s="14"/>
      <c r="E369" s="14"/>
      <c r="F369" s="14"/>
      <c r="G369" s="14"/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>
      <c r="A370" s="9"/>
      <c r="B370" s="9"/>
      <c r="C370" s="14"/>
      <c r="D370" s="14"/>
      <c r="E370" s="14"/>
      <c r="F370" s="14"/>
      <c r="G370" s="14"/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>
      <c r="A371" s="9"/>
      <c r="B371" s="9"/>
      <c r="C371" s="14"/>
      <c r="D371" s="14"/>
      <c r="E371" s="14"/>
      <c r="F371" s="14"/>
      <c r="G371" s="14"/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>
      <c r="A372" s="9"/>
      <c r="B372" s="9"/>
      <c r="C372" s="14"/>
      <c r="D372" s="14"/>
      <c r="E372" s="14"/>
      <c r="F372" s="14"/>
      <c r="G372" s="14"/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>
      <c r="A373" s="9"/>
      <c r="B373" s="9"/>
      <c r="C373" s="14"/>
      <c r="D373" s="14"/>
      <c r="E373" s="14"/>
      <c r="F373" s="14"/>
      <c r="G373" s="14"/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>
      <c r="A374" s="9"/>
      <c r="B374" s="9"/>
      <c r="C374" s="14"/>
      <c r="D374" s="14"/>
      <c r="E374" s="14"/>
      <c r="F374" s="14"/>
      <c r="G374" s="14"/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>
      <c r="A375" s="9"/>
      <c r="B375" s="9"/>
      <c r="C375" s="14"/>
      <c r="D375" s="14"/>
      <c r="E375" s="14"/>
      <c r="F375" s="14"/>
      <c r="G375" s="14"/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>
      <c r="A376" s="9"/>
      <c r="B376" s="9"/>
      <c r="C376" s="14"/>
      <c r="D376" s="14"/>
      <c r="E376" s="14"/>
      <c r="F376" s="14"/>
      <c r="G376" s="14"/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>
      <c r="A377" s="9"/>
      <c r="B377" s="9"/>
      <c r="C377" s="14"/>
      <c r="D377" s="14"/>
      <c r="E377" s="14"/>
      <c r="F377" s="14"/>
      <c r="G377" s="14"/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>
      <c r="A378" s="9"/>
      <c r="B378" s="9"/>
      <c r="C378" s="14"/>
      <c r="D378" s="14"/>
      <c r="E378" s="14"/>
      <c r="F378" s="14"/>
      <c r="G378" s="14"/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>
      <c r="A379" s="9"/>
      <c r="B379" s="9"/>
      <c r="C379" s="14"/>
      <c r="D379" s="14"/>
      <c r="E379" s="14"/>
      <c r="F379" s="14"/>
      <c r="G379" s="14"/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>
      <c r="A380" s="9"/>
      <c r="B380" s="9"/>
      <c r="C380" s="14"/>
      <c r="D380" s="14"/>
      <c r="E380" s="14"/>
      <c r="F380" s="14"/>
      <c r="G380" s="14"/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>
      <c r="A381" s="9"/>
      <c r="B381" s="9"/>
      <c r="C381" s="14"/>
      <c r="D381" s="14"/>
      <c r="E381" s="14"/>
      <c r="F381" s="14"/>
      <c r="G381" s="14"/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>
      <c r="A382" s="9"/>
      <c r="B382" s="9"/>
      <c r="C382" s="14"/>
      <c r="D382" s="14"/>
      <c r="E382" s="14"/>
      <c r="F382" s="14"/>
      <c r="G382" s="14"/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>
      <c r="A383" s="9"/>
      <c r="B383" s="9"/>
      <c r="C383" s="14"/>
      <c r="D383" s="14"/>
      <c r="E383" s="14"/>
      <c r="F383" s="14"/>
      <c r="G383" s="14"/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>
      <c r="A384" s="9"/>
      <c r="B384" s="9"/>
      <c r="C384" s="14"/>
      <c r="D384" s="14"/>
      <c r="E384" s="14"/>
      <c r="F384" s="14"/>
      <c r="G384" s="14"/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>
      <c r="A385" s="9"/>
      <c r="B385" s="9"/>
      <c r="C385" s="14"/>
      <c r="D385" s="14"/>
      <c r="E385" s="14"/>
      <c r="F385" s="14"/>
      <c r="G385" s="14"/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>
      <c r="A386" s="9"/>
      <c r="B386" s="9"/>
      <c r="C386" s="14"/>
      <c r="D386" s="14"/>
      <c r="E386" s="14"/>
      <c r="F386" s="14"/>
      <c r="G386" s="14"/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>
      <c r="A387" s="9"/>
      <c r="B387" s="9"/>
      <c r="C387" s="14"/>
      <c r="D387" s="14"/>
      <c r="E387" s="14"/>
      <c r="F387" s="14"/>
      <c r="G387" s="14"/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>
      <c r="A388" s="9"/>
      <c r="B388" s="9"/>
      <c r="C388" s="14"/>
      <c r="D388" s="14"/>
      <c r="E388" s="14"/>
      <c r="F388" s="14"/>
      <c r="G388" s="14"/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>
      <c r="A389" s="9"/>
      <c r="B389" s="9"/>
      <c r="C389" s="14"/>
      <c r="D389" s="14"/>
      <c r="E389" s="14"/>
      <c r="F389" s="14"/>
      <c r="G389" s="14"/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>
      <c r="A390" s="9"/>
      <c r="B390" s="9"/>
      <c r="C390" s="14"/>
      <c r="D390" s="14"/>
      <c r="E390" s="14"/>
      <c r="F390" s="14"/>
      <c r="G390" s="14"/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>
      <c r="A391" s="9"/>
      <c r="B391" s="9"/>
      <c r="C391" s="14"/>
      <c r="D391" s="14"/>
      <c r="E391" s="14"/>
      <c r="F391" s="14"/>
      <c r="G391" s="14"/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>
      <c r="A392" s="9"/>
      <c r="B392" s="9"/>
      <c r="C392" s="14"/>
      <c r="D392" s="14"/>
      <c r="E392" s="14"/>
      <c r="F392" s="14"/>
      <c r="G392" s="14"/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>
      <c r="A393" s="9"/>
      <c r="B393" s="9"/>
      <c r="C393" s="14"/>
      <c r="D393" s="14"/>
      <c r="E393" s="14"/>
      <c r="F393" s="14"/>
      <c r="G393" s="14"/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>
      <c r="A394" s="9"/>
      <c r="B394" s="9"/>
      <c r="C394" s="14"/>
      <c r="D394" s="14"/>
      <c r="E394" s="14"/>
      <c r="F394" s="14"/>
      <c r="G394" s="14"/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>
      <c r="A395" s="9"/>
      <c r="B395" s="9"/>
      <c r="C395" s="14"/>
      <c r="D395" s="14"/>
      <c r="E395" s="14"/>
      <c r="F395" s="14"/>
      <c r="G395" s="14"/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>
      <c r="A396" s="9"/>
      <c r="B396" s="9"/>
      <c r="C396" s="14"/>
      <c r="D396" s="14"/>
      <c r="E396" s="14"/>
      <c r="F396" s="14"/>
      <c r="G396" s="14"/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>
      <c r="A397" s="9"/>
      <c r="B397" s="9"/>
      <c r="C397" s="14"/>
      <c r="D397" s="14"/>
      <c r="E397" s="14"/>
      <c r="F397" s="14"/>
      <c r="G397" s="14"/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>
      <c r="A398" s="9"/>
      <c r="B398" s="9"/>
      <c r="C398" s="14"/>
      <c r="D398" s="14"/>
      <c r="E398" s="14"/>
      <c r="F398" s="14"/>
      <c r="G398" s="14"/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>
      <c r="A399" s="9"/>
      <c r="B399" s="9"/>
      <c r="C399" s="14"/>
      <c r="D399" s="14"/>
      <c r="E399" s="14"/>
      <c r="F399" s="14"/>
      <c r="G399" s="14"/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>
      <c r="A400" s="9"/>
      <c r="B400" s="9"/>
      <c r="C400" s="14"/>
      <c r="D400" s="14"/>
      <c r="E400" s="14"/>
      <c r="F400" s="14"/>
      <c r="G400" s="14"/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>
      <c r="A401" s="9"/>
      <c r="B401" s="9"/>
      <c r="C401" s="14"/>
      <c r="D401" s="14"/>
      <c r="E401" s="14"/>
      <c r="F401" s="14"/>
      <c r="G401" s="14"/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>
      <c r="A402" s="9"/>
      <c r="B402" s="9"/>
      <c r="C402" s="14"/>
      <c r="D402" s="14"/>
      <c r="E402" s="14"/>
      <c r="F402" s="14"/>
      <c r="G402" s="14"/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>
      <c r="A403" s="9"/>
      <c r="B403" s="9"/>
      <c r="C403" s="14"/>
      <c r="D403" s="14"/>
      <c r="E403" s="14"/>
      <c r="F403" s="14"/>
      <c r="G403" s="14"/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>
      <c r="A404" s="9"/>
      <c r="B404" s="9"/>
      <c r="C404" s="14"/>
      <c r="D404" s="14"/>
      <c r="E404" s="14"/>
      <c r="F404" s="14"/>
      <c r="G404" s="14"/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>
      <c r="A405" s="9"/>
      <c r="B405" s="9"/>
      <c r="C405" s="14"/>
      <c r="D405" s="14"/>
      <c r="E405" s="14"/>
      <c r="F405" s="14"/>
      <c r="G405" s="14"/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>
      <c r="A406" s="9"/>
      <c r="B406" s="9"/>
      <c r="C406" s="14"/>
      <c r="D406" s="14"/>
      <c r="E406" s="14"/>
      <c r="F406" s="14"/>
      <c r="G406" s="14"/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>
      <c r="A407" s="9"/>
      <c r="B407" s="9"/>
      <c r="C407" s="14"/>
      <c r="D407" s="14"/>
      <c r="E407" s="14"/>
      <c r="F407" s="14"/>
      <c r="G407" s="14"/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>
      <c r="A408" s="9"/>
      <c r="B408" s="9"/>
      <c r="C408" s="14"/>
      <c r="D408" s="14"/>
      <c r="E408" s="14"/>
      <c r="F408" s="14"/>
      <c r="G408" s="14"/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>
      <c r="A409" s="9"/>
      <c r="B409" s="9"/>
      <c r="C409" s="14"/>
      <c r="D409" s="14"/>
      <c r="E409" s="14"/>
      <c r="F409" s="14"/>
      <c r="G409" s="14"/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>
      <c r="A410" s="9"/>
      <c r="B410" s="9"/>
      <c r="C410" s="14"/>
      <c r="D410" s="14"/>
      <c r="E410" s="14"/>
      <c r="F410" s="14"/>
      <c r="G410" s="14"/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>
      <c r="A411" s="9"/>
      <c r="B411" s="9"/>
      <c r="C411" s="14"/>
      <c r="D411" s="14"/>
      <c r="E411" s="14"/>
      <c r="F411" s="14"/>
      <c r="G411" s="14"/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>
      <c r="A412" s="9"/>
      <c r="B412" s="9"/>
      <c r="C412" s="14"/>
      <c r="D412" s="14"/>
      <c r="E412" s="14"/>
      <c r="F412" s="14"/>
      <c r="G412" s="14"/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>
      <c r="A413" s="9"/>
      <c r="B413" s="9"/>
      <c r="C413" s="14"/>
      <c r="D413" s="14"/>
      <c r="E413" s="14"/>
      <c r="F413" s="14"/>
      <c r="G413" s="14"/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>
      <c r="A414" s="9"/>
      <c r="B414" s="9"/>
      <c r="C414" s="14"/>
      <c r="D414" s="14"/>
      <c r="E414" s="14"/>
      <c r="F414" s="14"/>
      <c r="G414" s="14"/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>
      <c r="A415" s="9"/>
      <c r="B415" s="9"/>
      <c r="C415" s="14"/>
      <c r="D415" s="14"/>
      <c r="E415" s="14"/>
      <c r="F415" s="14"/>
      <c r="G415" s="14"/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>
      <c r="A416" s="9"/>
      <c r="B416" s="9"/>
      <c r="C416" s="14"/>
      <c r="D416" s="14"/>
      <c r="E416" s="14"/>
      <c r="F416" s="14"/>
      <c r="G416" s="14"/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>
      <c r="A417" s="9"/>
      <c r="B417" s="9"/>
      <c r="C417" s="14"/>
      <c r="D417" s="14"/>
      <c r="E417" s="14"/>
      <c r="F417" s="14"/>
      <c r="G417" s="14"/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>
      <c r="A418" s="9"/>
      <c r="B418" s="9"/>
      <c r="C418" s="14"/>
      <c r="D418" s="14"/>
      <c r="E418" s="14"/>
      <c r="F418" s="14"/>
      <c r="G418" s="14"/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>
      <c r="A419" s="9"/>
      <c r="B419" s="9"/>
      <c r="C419" s="14"/>
      <c r="D419" s="14"/>
      <c r="E419" s="14"/>
      <c r="F419" s="14"/>
      <c r="G419" s="14"/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>
      <c r="A420" s="9"/>
      <c r="B420" s="9"/>
      <c r="C420" s="14"/>
      <c r="D420" s="14"/>
      <c r="E420" s="14"/>
      <c r="F420" s="14"/>
      <c r="G420" s="14"/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>
      <c r="A421" s="9"/>
      <c r="B421" s="9"/>
      <c r="C421" s="14"/>
      <c r="D421" s="14"/>
      <c r="E421" s="14"/>
      <c r="F421" s="14"/>
      <c r="G421" s="14"/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>
      <c r="A422" s="9"/>
      <c r="B422" s="9"/>
      <c r="C422" s="14"/>
      <c r="D422" s="14"/>
      <c r="E422" s="14"/>
      <c r="F422" s="14"/>
      <c r="G422" s="14"/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>
      <c r="A423" s="9"/>
      <c r="B423" s="9"/>
      <c r="C423" s="14"/>
      <c r="D423" s="14"/>
      <c r="E423" s="14"/>
      <c r="F423" s="14"/>
      <c r="G423" s="14"/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>
      <c r="A424" s="9"/>
      <c r="B424" s="9"/>
      <c r="C424" s="14"/>
      <c r="D424" s="14"/>
      <c r="E424" s="14"/>
      <c r="F424" s="14"/>
      <c r="G424" s="14"/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>
      <c r="A425" s="9"/>
      <c r="B425" s="9"/>
      <c r="C425" s="14"/>
      <c r="D425" s="14"/>
      <c r="E425" s="14"/>
      <c r="F425" s="14"/>
      <c r="G425" s="14"/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>
      <c r="A426" s="9"/>
      <c r="B426" s="9"/>
      <c r="C426" s="14"/>
      <c r="D426" s="14"/>
      <c r="E426" s="14"/>
      <c r="F426" s="14"/>
      <c r="G426" s="14"/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>
      <c r="A427" s="9"/>
      <c r="B427" s="9"/>
      <c r="C427" s="14"/>
      <c r="D427" s="14"/>
      <c r="E427" s="14"/>
      <c r="F427" s="14"/>
      <c r="G427" s="14"/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>
      <c r="A428" s="9"/>
      <c r="B428" s="9"/>
      <c r="C428" s="14"/>
      <c r="D428" s="14"/>
      <c r="E428" s="14"/>
      <c r="F428" s="14"/>
      <c r="G428" s="14"/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>
      <c r="A429" s="9"/>
      <c r="B429" s="9"/>
      <c r="C429" s="14"/>
      <c r="D429" s="14"/>
      <c r="E429" s="14"/>
      <c r="F429" s="14"/>
      <c r="G429" s="14"/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>
      <c r="A430" s="9"/>
      <c r="B430" s="9"/>
      <c r="C430" s="14"/>
      <c r="D430" s="14"/>
      <c r="E430" s="14"/>
      <c r="F430" s="14"/>
      <c r="G430" s="14"/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>
      <c r="A431" s="9"/>
      <c r="B431" s="9"/>
      <c r="C431" s="14"/>
      <c r="D431" s="14"/>
      <c r="E431" s="14"/>
      <c r="F431" s="14"/>
      <c r="G431" s="14"/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>
      <c r="A432" s="9"/>
      <c r="B432" s="9"/>
      <c r="C432" s="14"/>
      <c r="D432" s="14"/>
      <c r="E432" s="14"/>
      <c r="F432" s="14"/>
      <c r="G432" s="14"/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>
      <c r="A433" s="9"/>
      <c r="B433" s="9"/>
      <c r="C433" s="14"/>
      <c r="D433" s="14"/>
      <c r="E433" s="14"/>
      <c r="F433" s="14"/>
      <c r="G433" s="14"/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>
      <c r="A434" s="9"/>
      <c r="B434" s="9"/>
      <c r="C434" s="14"/>
      <c r="D434" s="14"/>
      <c r="E434" s="14"/>
      <c r="F434" s="14"/>
      <c r="G434" s="14"/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>
      <c r="A435" s="9"/>
      <c r="B435" s="9"/>
      <c r="C435" s="14"/>
      <c r="D435" s="14"/>
      <c r="E435" s="14"/>
      <c r="F435" s="14"/>
      <c r="G435" s="14"/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>
      <c r="A436" s="9"/>
      <c r="B436" s="9"/>
      <c r="C436" s="14"/>
      <c r="D436" s="14"/>
      <c r="E436" s="14"/>
      <c r="F436" s="14"/>
      <c r="G436" s="14"/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>
      <c r="A437" s="9"/>
      <c r="B437" s="9"/>
      <c r="C437" s="14"/>
      <c r="D437" s="14"/>
      <c r="E437" s="14"/>
      <c r="F437" s="14"/>
      <c r="G437" s="14"/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>
      <c r="A438" s="9"/>
      <c r="B438" s="9"/>
      <c r="C438" s="14"/>
      <c r="D438" s="14"/>
      <c r="E438" s="14"/>
      <c r="F438" s="14"/>
      <c r="G438" s="14"/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>
      <c r="A439" s="9"/>
      <c r="B439" s="9"/>
      <c r="C439" s="14"/>
      <c r="D439" s="14"/>
      <c r="E439" s="14"/>
      <c r="F439" s="14"/>
      <c r="G439" s="14"/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>
      <c r="A440" s="9"/>
      <c r="B440" s="9"/>
      <c r="C440" s="14"/>
      <c r="D440" s="14"/>
      <c r="E440" s="14"/>
      <c r="F440" s="14"/>
      <c r="G440" s="14"/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>
      <c r="A441" s="9"/>
      <c r="B441" s="9"/>
      <c r="C441" s="14"/>
      <c r="D441" s="14"/>
      <c r="E441" s="14"/>
      <c r="F441" s="14"/>
      <c r="G441" s="14"/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>
      <c r="A442" s="9"/>
      <c r="B442" s="9"/>
      <c r="C442" s="14"/>
      <c r="D442" s="14"/>
      <c r="E442" s="14"/>
      <c r="F442" s="14"/>
      <c r="G442" s="14"/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>
      <c r="A443" s="9"/>
      <c r="B443" s="9"/>
      <c r="C443" s="14"/>
      <c r="D443" s="14"/>
      <c r="E443" s="14"/>
      <c r="F443" s="14"/>
      <c r="G443" s="14"/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>
      <c r="A444" s="9"/>
      <c r="B444" s="9"/>
      <c r="C444" s="14"/>
      <c r="D444" s="14"/>
      <c r="E444" s="14"/>
      <c r="F444" s="14"/>
      <c r="G444" s="14"/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>
      <c r="A445" s="9"/>
      <c r="B445" s="9"/>
      <c r="C445" s="14"/>
      <c r="D445" s="14"/>
      <c r="E445" s="14"/>
      <c r="F445" s="14"/>
      <c r="G445" s="14"/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>
      <c r="A446" s="9"/>
      <c r="B446" s="9"/>
      <c r="C446" s="14"/>
      <c r="D446" s="14"/>
      <c r="E446" s="14"/>
      <c r="F446" s="14"/>
      <c r="G446" s="14"/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>
      <c r="A447" s="9"/>
      <c r="B447" s="9"/>
      <c r="C447" s="14"/>
      <c r="D447" s="14"/>
      <c r="E447" s="14"/>
      <c r="F447" s="14"/>
      <c r="G447" s="14"/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>
      <c r="A448" s="9"/>
      <c r="B448" s="9"/>
      <c r="C448" s="14"/>
      <c r="D448" s="14"/>
      <c r="E448" s="14"/>
      <c r="F448" s="14"/>
      <c r="G448" s="14"/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>
      <c r="A449" s="9"/>
      <c r="B449" s="9"/>
      <c r="C449" s="14"/>
      <c r="D449" s="14"/>
      <c r="E449" s="14"/>
      <c r="F449" s="14"/>
      <c r="G449" s="14"/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>
      <c r="A450" s="9"/>
      <c r="B450" s="9"/>
      <c r="C450" s="14"/>
      <c r="D450" s="14"/>
      <c r="E450" s="14"/>
      <c r="F450" s="14"/>
      <c r="G450" s="14"/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>
      <c r="A451" s="9"/>
      <c r="B451" s="9"/>
      <c r="C451" s="14"/>
      <c r="D451" s="14"/>
      <c r="E451" s="14"/>
      <c r="F451" s="14"/>
      <c r="G451" s="14"/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>
      <c r="A452" s="9"/>
      <c r="B452" s="9"/>
      <c r="C452" s="14"/>
      <c r="D452" s="14"/>
      <c r="E452" s="14"/>
      <c r="F452" s="14"/>
      <c r="G452" s="14"/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>
      <c r="A453" s="9"/>
      <c r="B453" s="9"/>
      <c r="C453" s="14"/>
      <c r="D453" s="14"/>
      <c r="E453" s="14"/>
      <c r="F453" s="14"/>
      <c r="G453" s="14"/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>
      <c r="A454" s="9"/>
      <c r="B454" s="9"/>
      <c r="C454" s="14"/>
      <c r="D454" s="14"/>
      <c r="E454" s="14"/>
      <c r="F454" s="14"/>
      <c r="G454" s="14"/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>
      <c r="A455" s="9"/>
      <c r="B455" s="9"/>
      <c r="C455" s="14"/>
      <c r="D455" s="14"/>
      <c r="E455" s="14"/>
      <c r="F455" s="14"/>
      <c r="G455" s="14"/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>
      <c r="A456" s="9"/>
      <c r="B456" s="9"/>
      <c r="C456" s="14"/>
      <c r="D456" s="14"/>
      <c r="E456" s="14"/>
      <c r="F456" s="14"/>
      <c r="G456" s="14"/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>
      <c r="A457" s="9"/>
      <c r="B457" s="9"/>
      <c r="C457" s="14"/>
      <c r="D457" s="14"/>
      <c r="E457" s="14"/>
      <c r="F457" s="14"/>
      <c r="G457" s="14"/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>
      <c r="A458" s="9"/>
      <c r="B458" s="9"/>
      <c r="C458" s="14"/>
      <c r="D458" s="14"/>
      <c r="E458" s="14"/>
      <c r="F458" s="14"/>
      <c r="G458" s="14"/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>
      <c r="A459" s="9"/>
      <c r="B459" s="9"/>
      <c r="C459" s="14"/>
      <c r="D459" s="14"/>
      <c r="E459" s="14"/>
      <c r="F459" s="14"/>
      <c r="G459" s="14"/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>
      <c r="A460" s="9"/>
      <c r="B460" s="9"/>
      <c r="C460" s="14"/>
      <c r="D460" s="14"/>
      <c r="E460" s="14"/>
      <c r="F460" s="14"/>
      <c r="G460" s="14"/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>
      <c r="A461" s="9"/>
      <c r="B461" s="9"/>
      <c r="C461" s="14"/>
      <c r="D461" s="14"/>
      <c r="E461" s="14"/>
      <c r="F461" s="14"/>
      <c r="G461" s="14"/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>
      <c r="A462" s="9"/>
      <c r="B462" s="9"/>
      <c r="C462" s="14"/>
      <c r="D462" s="14"/>
      <c r="E462" s="14"/>
      <c r="F462" s="14"/>
      <c r="G462" s="14"/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>
      <c r="A463" s="9"/>
      <c r="B463" s="9"/>
      <c r="C463" s="14"/>
      <c r="D463" s="14"/>
      <c r="E463" s="14"/>
      <c r="F463" s="14"/>
      <c r="G463" s="14"/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>
      <c r="A464" s="9"/>
      <c r="B464" s="9"/>
      <c r="C464" s="14"/>
      <c r="D464" s="14"/>
      <c r="E464" s="14"/>
      <c r="F464" s="14"/>
      <c r="G464" s="14"/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>
      <c r="A465" s="9"/>
      <c r="B465" s="9"/>
      <c r="C465" s="14"/>
      <c r="D465" s="14"/>
      <c r="E465" s="14"/>
      <c r="F465" s="14"/>
      <c r="G465" s="14"/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>
      <c r="A466" s="9"/>
      <c r="B466" s="9"/>
      <c r="C466" s="14"/>
      <c r="D466" s="14"/>
      <c r="E466" s="14"/>
      <c r="F466" s="14"/>
      <c r="G466" s="14"/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>
      <c r="A467" s="9"/>
      <c r="B467" s="9"/>
      <c r="C467" s="14"/>
      <c r="D467" s="14"/>
      <c r="E467" s="14"/>
      <c r="F467" s="14"/>
      <c r="G467" s="14"/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>
      <c r="A468" s="9"/>
      <c r="B468" s="9"/>
      <c r="C468" s="14"/>
      <c r="D468" s="14"/>
      <c r="E468" s="14"/>
      <c r="F468" s="14"/>
      <c r="G468" s="14"/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>
      <c r="A469" s="9"/>
      <c r="B469" s="9"/>
      <c r="C469" s="14"/>
      <c r="D469" s="14"/>
      <c r="E469" s="14"/>
      <c r="F469" s="14"/>
      <c r="G469" s="14"/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>
      <c r="A470" s="9"/>
      <c r="B470" s="9"/>
      <c r="C470" s="14"/>
      <c r="D470" s="14"/>
      <c r="E470" s="14"/>
      <c r="F470" s="14"/>
      <c r="G470" s="14"/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>
      <c r="A471" s="9"/>
      <c r="B471" s="9"/>
      <c r="C471" s="14"/>
      <c r="D471" s="14"/>
      <c r="E471" s="14"/>
      <c r="F471" s="14"/>
      <c r="G471" s="14"/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>
      <c r="A472" s="9"/>
      <c r="B472" s="9"/>
      <c r="C472" s="14"/>
      <c r="D472" s="14"/>
      <c r="E472" s="14"/>
      <c r="F472" s="14"/>
      <c r="G472" s="14"/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>
      <c r="A473" s="9"/>
      <c r="B473" s="9"/>
      <c r="C473" s="14"/>
      <c r="D473" s="14"/>
      <c r="E473" s="14"/>
      <c r="F473" s="14"/>
      <c r="G473" s="14"/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>
      <c r="A474" s="9"/>
      <c r="B474" s="9"/>
      <c r="C474" s="14"/>
      <c r="D474" s="14"/>
      <c r="E474" s="14"/>
      <c r="F474" s="14"/>
      <c r="G474" s="14"/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>
      <c r="A475" s="9"/>
      <c r="B475" s="9"/>
      <c r="C475" s="14"/>
      <c r="D475" s="14"/>
      <c r="E475" s="14"/>
      <c r="F475" s="14"/>
      <c r="G475" s="14"/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>
      <c r="A476" s="9"/>
      <c r="B476" s="9"/>
      <c r="C476" s="14"/>
      <c r="D476" s="14"/>
      <c r="E476" s="14"/>
      <c r="F476" s="14"/>
      <c r="G476" s="14"/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>
      <c r="A477" s="9"/>
      <c r="B477" s="9"/>
      <c r="C477" s="14"/>
      <c r="D477" s="14"/>
      <c r="E477" s="14"/>
      <c r="F477" s="14"/>
      <c r="G477" s="14"/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>
      <c r="A478" s="9"/>
      <c r="B478" s="9"/>
      <c r="C478" s="14"/>
      <c r="D478" s="14"/>
      <c r="E478" s="14"/>
      <c r="F478" s="14"/>
      <c r="G478" s="14"/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>
      <c r="A479" s="9"/>
      <c r="B479" s="9"/>
      <c r="C479" s="14"/>
      <c r="D479" s="14"/>
      <c r="E479" s="14"/>
      <c r="F479" s="14"/>
      <c r="G479" s="14"/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>
      <c r="A480" s="9"/>
      <c r="B480" s="9"/>
      <c r="C480" s="14"/>
      <c r="D480" s="14"/>
      <c r="E480" s="14"/>
      <c r="F480" s="14"/>
      <c r="G480" s="14"/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>
      <c r="A481" s="9"/>
      <c r="B481" s="9"/>
      <c r="C481" s="14"/>
      <c r="D481" s="14"/>
      <c r="E481" s="14"/>
      <c r="F481" s="14"/>
      <c r="G481" s="14"/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>
      <c r="A482" s="9"/>
      <c r="B482" s="9"/>
      <c r="C482" s="14"/>
      <c r="D482" s="14"/>
      <c r="E482" s="14"/>
      <c r="F482" s="14"/>
      <c r="G482" s="14"/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>
      <c r="A483" s="9"/>
      <c r="B483" s="9"/>
      <c r="C483" s="14"/>
      <c r="D483" s="14"/>
      <c r="E483" s="14"/>
      <c r="F483" s="14"/>
      <c r="G483" s="14"/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>
      <c r="A484" s="9"/>
      <c r="B484" s="9"/>
      <c r="C484" s="14"/>
      <c r="D484" s="14"/>
      <c r="E484" s="14"/>
      <c r="F484" s="14"/>
      <c r="G484" s="14"/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>
      <c r="A485" s="9"/>
      <c r="B485" s="9"/>
      <c r="C485" s="14"/>
      <c r="D485" s="14"/>
      <c r="E485" s="14"/>
      <c r="F485" s="14"/>
      <c r="G485" s="14"/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>
      <c r="A486" s="9"/>
      <c r="B486" s="9"/>
      <c r="C486" s="14"/>
      <c r="D486" s="14"/>
      <c r="E486" s="14"/>
      <c r="F486" s="14"/>
      <c r="G486" s="14"/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>
      <c r="A487" s="9"/>
      <c r="B487" s="9"/>
      <c r="C487" s="14"/>
      <c r="D487" s="14"/>
      <c r="E487" s="14"/>
      <c r="F487" s="14"/>
      <c r="G487" s="14"/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>
      <c r="A488" s="9"/>
      <c r="B488" s="9"/>
      <c r="C488" s="14"/>
      <c r="D488" s="14"/>
      <c r="E488" s="14"/>
      <c r="F488" s="14"/>
      <c r="G488" s="14"/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>
      <c r="A489" s="9"/>
      <c r="B489" s="9"/>
      <c r="C489" s="14"/>
      <c r="D489" s="14"/>
      <c r="E489" s="14"/>
      <c r="F489" s="14"/>
      <c r="G489" s="14"/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>
      <c r="A490" s="9"/>
      <c r="B490" s="9"/>
      <c r="C490" s="14"/>
      <c r="D490" s="14"/>
      <c r="E490" s="14"/>
      <c r="F490" s="14"/>
      <c r="G490" s="14"/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>
      <c r="A491" s="9"/>
      <c r="B491" s="9"/>
      <c r="C491" s="14"/>
      <c r="D491" s="14"/>
      <c r="E491" s="14"/>
      <c r="F491" s="14"/>
      <c r="G491" s="14"/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>
      <c r="A492" s="9"/>
      <c r="B492" s="9"/>
      <c r="C492" s="14"/>
      <c r="D492" s="14"/>
      <c r="E492" s="14"/>
      <c r="F492" s="14"/>
      <c r="G492" s="14"/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>
      <c r="A493" s="9"/>
      <c r="B493" s="9"/>
      <c r="C493" s="14"/>
      <c r="D493" s="14"/>
      <c r="E493" s="14"/>
      <c r="F493" s="14"/>
      <c r="G493" s="14"/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>
      <c r="A494" s="9"/>
      <c r="B494" s="9"/>
      <c r="C494" s="14"/>
      <c r="D494" s="14"/>
      <c r="E494" s="14"/>
      <c r="F494" s="14"/>
      <c r="G494" s="14"/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>
      <c r="A495" s="9"/>
      <c r="B495" s="9"/>
      <c r="C495" s="14"/>
      <c r="D495" s="14"/>
      <c r="E495" s="14"/>
      <c r="F495" s="14"/>
      <c r="G495" s="14"/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>
      <c r="A496" s="9"/>
      <c r="B496" s="9"/>
      <c r="C496" s="14"/>
      <c r="D496" s="14"/>
      <c r="E496" s="14"/>
      <c r="F496" s="14"/>
      <c r="G496" s="14"/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>
      <c r="A497" s="9"/>
      <c r="B497" s="9"/>
      <c r="C497" s="14"/>
      <c r="D497" s="14"/>
      <c r="E497" s="14"/>
      <c r="F497" s="14"/>
      <c r="G497" s="14"/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>
      <c r="A498" s="9"/>
      <c r="B498" s="9"/>
      <c r="C498" s="14"/>
      <c r="D498" s="14"/>
      <c r="E498" s="14"/>
      <c r="F498" s="14"/>
      <c r="G498" s="14"/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>
      <c r="A499" s="9"/>
      <c r="B499" s="9"/>
      <c r="C499" s="14"/>
      <c r="D499" s="14"/>
      <c r="E499" s="14"/>
      <c r="F499" s="14"/>
      <c r="G499" s="14"/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>
      <c r="A500" s="9"/>
      <c r="B500" s="9"/>
      <c r="C500" s="14"/>
      <c r="D500" s="14"/>
      <c r="E500" s="14"/>
      <c r="F500" s="14"/>
      <c r="G500" s="14"/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>
      <c r="A501" s="9"/>
      <c r="B501" s="9"/>
      <c r="C501" s="14"/>
      <c r="D501" s="14"/>
      <c r="E501" s="14"/>
      <c r="F501" s="14"/>
      <c r="G501" s="14"/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>
      <c r="A502" s="9"/>
      <c r="B502" s="9"/>
      <c r="C502" s="14"/>
      <c r="D502" s="14"/>
      <c r="E502" s="14"/>
      <c r="F502" s="14"/>
      <c r="G502" s="14"/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>
      <c r="A503" s="9"/>
      <c r="B503" s="9"/>
      <c r="C503" s="14"/>
      <c r="D503" s="14"/>
      <c r="E503" s="14"/>
      <c r="F503" s="14"/>
      <c r="G503" s="14"/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>
      <c r="A504" s="9"/>
      <c r="B504" s="9"/>
      <c r="C504" s="14"/>
      <c r="D504" s="14"/>
      <c r="E504" s="14"/>
      <c r="F504" s="14"/>
      <c r="G504" s="14"/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>
      <c r="A505" s="9"/>
      <c r="B505" s="9"/>
      <c r="C505" s="14"/>
      <c r="D505" s="14"/>
      <c r="E505" s="14"/>
      <c r="F505" s="14"/>
      <c r="G505" s="14"/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>
      <c r="A506" s="9"/>
      <c r="B506" s="9"/>
      <c r="C506" s="14"/>
      <c r="D506" s="14"/>
      <c r="E506" s="14"/>
      <c r="F506" s="14"/>
      <c r="G506" s="14"/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>
      <c r="A507" s="9"/>
      <c r="B507" s="9"/>
      <c r="C507" s="14"/>
      <c r="D507" s="14"/>
      <c r="E507" s="14"/>
      <c r="F507" s="14"/>
      <c r="G507" s="14"/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>
      <c r="A508" s="9"/>
      <c r="B508" s="9"/>
      <c r="C508" s="14"/>
      <c r="D508" s="14"/>
      <c r="E508" s="14"/>
      <c r="F508" s="14"/>
      <c r="G508" s="14"/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>
      <c r="A509" s="9"/>
      <c r="B509" s="9"/>
      <c r="C509" s="14"/>
      <c r="D509" s="14"/>
      <c r="E509" s="14"/>
      <c r="F509" s="14"/>
      <c r="G509" s="14"/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>
      <c r="A510" s="9"/>
      <c r="B510" s="9"/>
      <c r="C510" s="14"/>
      <c r="D510" s="14"/>
      <c r="E510" s="14"/>
      <c r="F510" s="14"/>
      <c r="G510" s="14"/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>
      <c r="A511" s="9"/>
      <c r="B511" s="9"/>
      <c r="C511" s="14"/>
      <c r="D511" s="14"/>
      <c r="E511" s="14"/>
      <c r="F511" s="14"/>
      <c r="G511" s="14"/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>
      <c r="A512" s="9"/>
      <c r="B512" s="9"/>
      <c r="C512" s="14"/>
      <c r="D512" s="14"/>
      <c r="E512" s="14"/>
      <c r="F512" s="14"/>
      <c r="G512" s="14"/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>
      <c r="A513" s="9"/>
      <c r="B513" s="9"/>
      <c r="C513" s="14"/>
      <c r="D513" s="14"/>
      <c r="E513" s="14"/>
      <c r="F513" s="14"/>
      <c r="G513" s="14"/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>
      <c r="A514" s="9"/>
      <c r="B514" s="9"/>
      <c r="C514" s="14"/>
      <c r="D514" s="14"/>
      <c r="E514" s="14"/>
      <c r="F514" s="14"/>
      <c r="G514" s="14"/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>
      <c r="A515" s="9"/>
      <c r="B515" s="9"/>
      <c r="C515" s="14"/>
      <c r="D515" s="14"/>
      <c r="E515" s="14"/>
      <c r="F515" s="14"/>
      <c r="G515" s="14"/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>
      <c r="A516" s="9"/>
      <c r="B516" s="9"/>
      <c r="C516" s="14"/>
      <c r="D516" s="14"/>
      <c r="E516" s="14"/>
      <c r="F516" s="14"/>
      <c r="G516" s="14"/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>
      <c r="A517" s="9"/>
      <c r="B517" s="9"/>
      <c r="C517" s="14"/>
      <c r="D517" s="14"/>
      <c r="E517" s="14"/>
      <c r="F517" s="14"/>
      <c r="G517" s="14"/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>
      <c r="A518" s="9"/>
      <c r="B518" s="9"/>
      <c r="C518" s="14"/>
      <c r="D518" s="14"/>
      <c r="E518" s="14"/>
      <c r="F518" s="14"/>
      <c r="G518" s="14"/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>
      <c r="A519" s="9"/>
      <c r="B519" s="9"/>
      <c r="C519" s="14"/>
      <c r="D519" s="14"/>
      <c r="E519" s="14"/>
      <c r="F519" s="14"/>
      <c r="G519" s="14"/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>
      <c r="A520" s="9"/>
      <c r="B520" s="9"/>
      <c r="C520" s="14"/>
      <c r="D520" s="14"/>
      <c r="E520" s="14"/>
      <c r="F520" s="14"/>
      <c r="G520" s="14"/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>
      <c r="A521" s="9"/>
      <c r="B521" s="9"/>
      <c r="C521" s="14"/>
      <c r="D521" s="14"/>
      <c r="E521" s="14"/>
      <c r="F521" s="14"/>
      <c r="G521" s="14"/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>
      <c r="A522" s="9"/>
      <c r="B522" s="9"/>
      <c r="C522" s="14"/>
      <c r="D522" s="14"/>
      <c r="E522" s="14"/>
      <c r="F522" s="14"/>
      <c r="G522" s="14"/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>
      <c r="A523" s="9"/>
      <c r="B523" s="9"/>
      <c r="C523" s="14"/>
      <c r="D523" s="14"/>
      <c r="E523" s="14"/>
      <c r="F523" s="14"/>
      <c r="G523" s="14"/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>
      <c r="A524" s="9"/>
      <c r="B524" s="9"/>
      <c r="C524" s="14"/>
      <c r="D524" s="14"/>
      <c r="E524" s="14"/>
      <c r="F524" s="14"/>
      <c r="G524" s="14"/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>
      <c r="A525" s="9"/>
      <c r="B525" s="9"/>
      <c r="C525" s="14"/>
      <c r="D525" s="14"/>
      <c r="E525" s="14"/>
      <c r="F525" s="14"/>
      <c r="G525" s="14"/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>
      <c r="A526" s="9"/>
      <c r="B526" s="9"/>
      <c r="C526" s="14"/>
      <c r="D526" s="14"/>
      <c r="E526" s="14"/>
      <c r="F526" s="14"/>
      <c r="G526" s="14"/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>
      <c r="A527" s="9"/>
      <c r="B527" s="9"/>
      <c r="C527" s="14"/>
      <c r="D527" s="14"/>
      <c r="E527" s="14"/>
      <c r="F527" s="14"/>
      <c r="G527" s="14"/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>
      <c r="A528" s="9"/>
      <c r="B528" s="9"/>
      <c r="C528" s="14"/>
      <c r="D528" s="14"/>
      <c r="E528" s="14"/>
      <c r="F528" s="14"/>
      <c r="G528" s="14"/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>
      <c r="A529" s="9"/>
      <c r="B529" s="9"/>
      <c r="C529" s="14"/>
      <c r="D529" s="14"/>
      <c r="E529" s="14"/>
      <c r="F529" s="14"/>
      <c r="G529" s="14"/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>
      <c r="A530" s="9"/>
      <c r="B530" s="9"/>
      <c r="C530" s="14"/>
      <c r="D530" s="14"/>
      <c r="E530" s="14"/>
      <c r="F530" s="14"/>
      <c r="G530" s="14"/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>
      <c r="A531" s="9"/>
      <c r="B531" s="9"/>
      <c r="C531" s="14"/>
      <c r="D531" s="14"/>
      <c r="E531" s="14"/>
      <c r="F531" s="14"/>
      <c r="G531" s="14"/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>
      <c r="A532" s="9"/>
      <c r="B532" s="9"/>
      <c r="C532" s="14"/>
      <c r="D532" s="14"/>
      <c r="E532" s="14"/>
      <c r="F532" s="14"/>
      <c r="G532" s="14"/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>
      <c r="A533" s="9"/>
      <c r="B533" s="9"/>
      <c r="C533" s="14"/>
      <c r="D533" s="14"/>
      <c r="E533" s="14"/>
      <c r="F533" s="14"/>
      <c r="G533" s="14"/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>
      <c r="A534" s="9"/>
      <c r="B534" s="9"/>
      <c r="C534" s="14"/>
      <c r="D534" s="14"/>
      <c r="E534" s="14"/>
      <c r="F534" s="14"/>
      <c r="G534" s="14"/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>
      <c r="A535" s="9"/>
      <c r="B535" s="9"/>
      <c r="C535" s="14"/>
      <c r="D535" s="14"/>
      <c r="E535" s="14"/>
      <c r="F535" s="14"/>
      <c r="G535" s="14"/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>
      <c r="A536" s="9"/>
      <c r="B536" s="9"/>
      <c r="C536" s="14"/>
      <c r="D536" s="14"/>
      <c r="E536" s="14"/>
      <c r="F536" s="14"/>
      <c r="G536" s="14"/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>
      <c r="A537" s="9"/>
      <c r="B537" s="9"/>
      <c r="C537" s="14"/>
      <c r="D537" s="14"/>
      <c r="E537" s="14"/>
      <c r="F537" s="14"/>
      <c r="G537" s="14"/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>
      <c r="A538" s="9"/>
      <c r="B538" s="9"/>
      <c r="C538" s="14"/>
      <c r="D538" s="14"/>
      <c r="E538" s="14"/>
      <c r="F538" s="14"/>
      <c r="G538" s="14"/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>
      <c r="A539" s="9"/>
      <c r="B539" s="9"/>
      <c r="C539" s="14"/>
      <c r="D539" s="14"/>
      <c r="E539" s="14"/>
      <c r="F539" s="14"/>
      <c r="G539" s="14"/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>
      <c r="A540" s="9"/>
      <c r="B540" s="9"/>
      <c r="C540" s="14"/>
      <c r="D540" s="14"/>
      <c r="E540" s="14"/>
      <c r="F540" s="14"/>
      <c r="G540" s="14"/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>
      <c r="A541" s="9"/>
      <c r="B541" s="9"/>
      <c r="C541" s="14"/>
      <c r="D541" s="14"/>
      <c r="E541" s="14"/>
      <c r="F541" s="14"/>
      <c r="G541" s="14"/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>
      <c r="A542" s="9"/>
      <c r="B542" s="9"/>
      <c r="C542" s="14"/>
      <c r="D542" s="14"/>
      <c r="E542" s="14"/>
      <c r="F542" s="14"/>
      <c r="G542" s="14"/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>
      <c r="A543" s="9"/>
      <c r="B543" s="9"/>
      <c r="C543" s="14"/>
      <c r="D543" s="14"/>
      <c r="E543" s="14"/>
      <c r="F543" s="14"/>
      <c r="G543" s="14"/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>
      <c r="A544" s="9"/>
      <c r="B544" s="9"/>
      <c r="C544" s="14"/>
      <c r="D544" s="14"/>
      <c r="E544" s="14"/>
      <c r="F544" s="14"/>
      <c r="G544" s="14"/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>
      <c r="A545" s="9"/>
      <c r="B545" s="9"/>
      <c r="C545" s="14"/>
      <c r="D545" s="14"/>
      <c r="E545" s="14"/>
      <c r="F545" s="14"/>
      <c r="G545" s="14"/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>
      <c r="A546" s="9"/>
      <c r="B546" s="9"/>
      <c r="C546" s="14"/>
      <c r="D546" s="14"/>
      <c r="E546" s="14"/>
      <c r="F546" s="14"/>
      <c r="G546" s="14"/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>
      <c r="A547" s="9"/>
      <c r="B547" s="9"/>
      <c r="C547" s="14"/>
      <c r="D547" s="14"/>
      <c r="E547" s="14"/>
      <c r="F547" s="14"/>
      <c r="G547" s="14"/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>
      <c r="A548" s="9"/>
      <c r="B548" s="9"/>
      <c r="C548" s="14"/>
      <c r="D548" s="14"/>
      <c r="E548" s="14"/>
      <c r="F548" s="14"/>
      <c r="G548" s="14"/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>
      <c r="A549" s="9"/>
      <c r="B549" s="9"/>
      <c r="C549" s="14"/>
      <c r="D549" s="14"/>
      <c r="E549" s="14"/>
      <c r="F549" s="14"/>
      <c r="G549" s="14"/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>
      <c r="A550" s="9"/>
      <c r="B550" s="9"/>
      <c r="C550" s="14"/>
      <c r="D550" s="14"/>
      <c r="E550" s="14"/>
      <c r="F550" s="14"/>
      <c r="G550" s="14"/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>
      <c r="A551" s="9"/>
      <c r="B551" s="9"/>
      <c r="C551" s="14"/>
      <c r="D551" s="14"/>
      <c r="E551" s="14"/>
      <c r="F551" s="14"/>
      <c r="G551" s="14"/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>
      <c r="A552" s="9"/>
      <c r="B552" s="9"/>
      <c r="C552" s="14"/>
      <c r="D552" s="14"/>
      <c r="E552" s="14"/>
      <c r="F552" s="14"/>
      <c r="G552" s="14"/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>
      <c r="A553" s="9"/>
      <c r="B553" s="9"/>
      <c r="C553" s="14"/>
      <c r="D553" s="14"/>
      <c r="E553" s="14"/>
      <c r="F553" s="14"/>
      <c r="G553" s="14"/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>
      <c r="A554" s="9"/>
      <c r="B554" s="9"/>
      <c r="C554" s="14"/>
      <c r="D554" s="14"/>
      <c r="E554" s="14"/>
      <c r="F554" s="14"/>
      <c r="G554" s="14"/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>
      <c r="A555" s="9"/>
      <c r="B555" s="9"/>
      <c r="C555" s="14"/>
      <c r="D555" s="14"/>
      <c r="E555" s="14"/>
      <c r="F555" s="14"/>
      <c r="G555" s="14"/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>
      <c r="A556" s="9"/>
      <c r="B556" s="9"/>
      <c r="C556" s="14"/>
      <c r="D556" s="14"/>
      <c r="E556" s="14"/>
      <c r="F556" s="14"/>
      <c r="G556" s="14"/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>
      <c r="A557" s="9"/>
      <c r="B557" s="9"/>
      <c r="C557" s="14"/>
      <c r="D557" s="14"/>
      <c r="E557" s="14"/>
      <c r="F557" s="14"/>
      <c r="G557" s="14"/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>
      <c r="A558" s="9"/>
      <c r="B558" s="9"/>
      <c r="C558" s="14"/>
      <c r="D558" s="14"/>
      <c r="E558" s="14"/>
      <c r="F558" s="14"/>
      <c r="G558" s="14"/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>
      <c r="A559" s="9"/>
      <c r="B559" s="9"/>
      <c r="C559" s="14"/>
      <c r="D559" s="14"/>
      <c r="E559" s="14"/>
      <c r="F559" s="14"/>
      <c r="G559" s="14"/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>
      <c r="A560" s="9"/>
      <c r="B560" s="9"/>
      <c r="C560" s="14"/>
      <c r="D560" s="14"/>
      <c r="E560" s="14"/>
      <c r="F560" s="14"/>
      <c r="G560" s="14"/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>
      <c r="A561" s="9"/>
      <c r="B561" s="9"/>
      <c r="C561" s="14"/>
      <c r="D561" s="14"/>
      <c r="E561" s="14"/>
      <c r="F561" s="14"/>
      <c r="G561" s="14"/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>
      <c r="A562" s="9"/>
      <c r="B562" s="9"/>
      <c r="C562" s="14"/>
      <c r="D562" s="14"/>
      <c r="E562" s="14"/>
      <c r="F562" s="14"/>
      <c r="G562" s="14"/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>
      <c r="A563" s="9"/>
      <c r="B563" s="9"/>
      <c r="C563" s="14"/>
      <c r="D563" s="14"/>
      <c r="E563" s="14"/>
      <c r="F563" s="14"/>
      <c r="G563" s="14"/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>
      <c r="A564" s="9"/>
      <c r="B564" s="9"/>
      <c r="C564" s="14"/>
      <c r="D564" s="14"/>
      <c r="E564" s="14"/>
      <c r="F564" s="14"/>
      <c r="G564" s="14"/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>
      <c r="A565" s="9"/>
      <c r="B565" s="9"/>
      <c r="C565" s="14"/>
      <c r="D565" s="14"/>
      <c r="E565" s="14"/>
      <c r="F565" s="14"/>
      <c r="G565" s="14"/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>
      <c r="A566" s="9"/>
      <c r="B566" s="9"/>
      <c r="C566" s="14"/>
      <c r="D566" s="14"/>
      <c r="E566" s="14"/>
      <c r="F566" s="14"/>
      <c r="G566" s="14"/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>
      <c r="A567" s="9"/>
      <c r="B567" s="9"/>
      <c r="C567" s="14"/>
      <c r="D567" s="14"/>
      <c r="E567" s="14"/>
      <c r="F567" s="14"/>
      <c r="G567" s="14"/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>
      <c r="A568" s="9"/>
      <c r="B568" s="9"/>
      <c r="C568" s="14"/>
      <c r="D568" s="14"/>
      <c r="E568" s="14"/>
      <c r="F568" s="14"/>
      <c r="G568" s="14"/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>
      <c r="A569" s="9"/>
      <c r="B569" s="9"/>
      <c r="C569" s="14"/>
      <c r="D569" s="14"/>
      <c r="E569" s="14"/>
      <c r="F569" s="14"/>
      <c r="G569" s="14"/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>
      <c r="A570" s="9"/>
      <c r="B570" s="9"/>
      <c r="C570" s="14"/>
      <c r="D570" s="14"/>
      <c r="E570" s="14"/>
      <c r="F570" s="14"/>
      <c r="G570" s="14"/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>
      <c r="A571" s="9"/>
      <c r="B571" s="9"/>
      <c r="C571" s="14"/>
      <c r="D571" s="14"/>
      <c r="E571" s="14"/>
      <c r="F571" s="14"/>
      <c r="G571" s="14"/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>
      <c r="A572" s="9"/>
      <c r="B572" s="9"/>
      <c r="C572" s="14"/>
      <c r="D572" s="14"/>
      <c r="E572" s="14"/>
      <c r="F572" s="14"/>
      <c r="G572" s="14"/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>
      <c r="A573" s="9"/>
      <c r="B573" s="9"/>
      <c r="C573" s="14"/>
      <c r="D573" s="14"/>
      <c r="E573" s="14"/>
      <c r="F573" s="14"/>
      <c r="G573" s="14"/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>
      <c r="A574" s="9"/>
      <c r="B574" s="9"/>
      <c r="C574" s="14"/>
      <c r="D574" s="14"/>
      <c r="E574" s="14"/>
      <c r="F574" s="14"/>
      <c r="G574" s="14"/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>
      <c r="A575" s="9"/>
      <c r="B575" s="9"/>
      <c r="C575" s="14"/>
      <c r="D575" s="14"/>
      <c r="E575" s="14"/>
      <c r="F575" s="14"/>
      <c r="G575" s="14"/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>
      <c r="A576" s="9"/>
      <c r="B576" s="9"/>
      <c r="C576" s="14"/>
      <c r="D576" s="14"/>
      <c r="E576" s="14"/>
      <c r="F576" s="14"/>
      <c r="G576" s="14"/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>
      <c r="A577" s="9"/>
      <c r="B577" s="9"/>
      <c r="C577" s="14"/>
      <c r="D577" s="14"/>
      <c r="E577" s="14"/>
      <c r="F577" s="14"/>
      <c r="G577" s="14"/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>
      <c r="A578" s="9"/>
      <c r="B578" s="9"/>
      <c r="C578" s="14"/>
      <c r="D578" s="14"/>
      <c r="E578" s="14"/>
      <c r="F578" s="14"/>
      <c r="G578" s="14"/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>
      <c r="A579" s="9"/>
      <c r="B579" s="9"/>
      <c r="C579" s="14"/>
      <c r="D579" s="14"/>
      <c r="E579" s="14"/>
      <c r="F579" s="14"/>
      <c r="G579" s="14"/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>
      <c r="A580" s="9"/>
      <c r="B580" s="9"/>
      <c r="C580" s="14"/>
      <c r="D580" s="14"/>
      <c r="E580" s="14"/>
      <c r="F580" s="14"/>
      <c r="G580" s="14"/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>
      <c r="A581" s="9"/>
      <c r="B581" s="9"/>
      <c r="C581" s="14"/>
      <c r="D581" s="14"/>
      <c r="E581" s="14"/>
      <c r="F581" s="14"/>
      <c r="G581" s="14"/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>
      <c r="A582" s="9"/>
      <c r="B582" s="9"/>
      <c r="C582" s="14"/>
      <c r="D582" s="14"/>
      <c r="E582" s="14"/>
      <c r="F582" s="14"/>
      <c r="G582" s="14"/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>
      <c r="A583" s="9"/>
      <c r="B583" s="9"/>
      <c r="C583" s="14"/>
      <c r="D583" s="14"/>
      <c r="E583" s="14"/>
      <c r="F583" s="14"/>
      <c r="G583" s="14"/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>
      <c r="A584" s="9"/>
      <c r="B584" s="9"/>
      <c r="C584" s="14"/>
      <c r="D584" s="14"/>
      <c r="E584" s="14"/>
      <c r="F584" s="14"/>
      <c r="G584" s="14"/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>
      <c r="A585" s="9"/>
      <c r="B585" s="9"/>
      <c r="C585" s="14"/>
      <c r="D585" s="14"/>
      <c r="E585" s="14"/>
      <c r="F585" s="14"/>
      <c r="G585" s="14"/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>
      <c r="A586" s="9"/>
      <c r="B586" s="9"/>
      <c r="C586" s="14"/>
      <c r="D586" s="14"/>
      <c r="E586" s="14"/>
      <c r="F586" s="14"/>
      <c r="G586" s="14"/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>
      <c r="A587" s="9"/>
      <c r="B587" s="9"/>
      <c r="C587" s="14"/>
      <c r="D587" s="14"/>
      <c r="E587" s="14"/>
      <c r="F587" s="14"/>
      <c r="G587" s="14"/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>
      <c r="A588" s="9"/>
      <c r="B588" s="9"/>
      <c r="C588" s="14"/>
      <c r="D588" s="14"/>
      <c r="E588" s="14"/>
      <c r="F588" s="14"/>
      <c r="G588" s="14"/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>
      <c r="A589" s="9"/>
      <c r="B589" s="9"/>
      <c r="C589" s="14"/>
      <c r="D589" s="14"/>
      <c r="E589" s="14"/>
      <c r="F589" s="14"/>
      <c r="G589" s="14"/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>
      <c r="A590" s="9"/>
      <c r="B590" s="9"/>
      <c r="C590" s="14"/>
      <c r="D590" s="14"/>
      <c r="E590" s="14"/>
      <c r="F590" s="14"/>
      <c r="G590" s="14"/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>
      <c r="A591" s="9"/>
      <c r="B591" s="9"/>
      <c r="C591" s="14"/>
      <c r="D591" s="14"/>
      <c r="E591" s="14"/>
      <c r="F591" s="14"/>
      <c r="G591" s="14"/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>
      <c r="A592" s="9"/>
      <c r="B592" s="9"/>
      <c r="C592" s="14"/>
      <c r="D592" s="14"/>
      <c r="E592" s="14"/>
      <c r="F592" s="14"/>
      <c r="G592" s="14"/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>
      <c r="A593" s="9"/>
      <c r="B593" s="9"/>
      <c r="C593" s="14"/>
      <c r="D593" s="14"/>
      <c r="E593" s="14"/>
      <c r="F593" s="14"/>
      <c r="G593" s="14"/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>
      <c r="A594" s="9"/>
      <c r="B594" s="9"/>
      <c r="C594" s="14"/>
      <c r="D594" s="14"/>
      <c r="E594" s="14"/>
      <c r="F594" s="14"/>
      <c r="G594" s="14"/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>
      <c r="A595" s="9"/>
      <c r="B595" s="9"/>
      <c r="C595" s="14"/>
      <c r="D595" s="14"/>
      <c r="E595" s="14"/>
      <c r="F595" s="14"/>
      <c r="G595" s="14"/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>
      <c r="A596" s="9"/>
      <c r="B596" s="9"/>
      <c r="C596" s="14"/>
      <c r="D596" s="14"/>
      <c r="E596" s="14"/>
      <c r="F596" s="14"/>
      <c r="G596" s="14"/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>
      <c r="A597" s="9"/>
      <c r="B597" s="9"/>
      <c r="C597" s="14"/>
      <c r="D597" s="14"/>
      <c r="E597" s="14"/>
      <c r="F597" s="14"/>
      <c r="G597" s="14"/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>
      <c r="A598" s="9"/>
      <c r="B598" s="9"/>
      <c r="C598" s="14"/>
      <c r="D598" s="14"/>
      <c r="E598" s="14"/>
      <c r="F598" s="14"/>
      <c r="G598" s="14"/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>
      <c r="A599" s="9"/>
      <c r="B599" s="9"/>
      <c r="C599" s="14"/>
      <c r="D599" s="14"/>
      <c r="E599" s="14"/>
      <c r="F599" s="14"/>
      <c r="G599" s="14"/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>
      <c r="A600" s="9"/>
      <c r="B600" s="9"/>
      <c r="C600" s="14"/>
      <c r="D600" s="14"/>
      <c r="E600" s="14"/>
      <c r="F600" s="14"/>
      <c r="G600" s="14"/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>
      <c r="A601" s="9"/>
      <c r="B601" s="9"/>
      <c r="C601" s="14"/>
      <c r="D601" s="14"/>
      <c r="E601" s="14"/>
      <c r="F601" s="14"/>
      <c r="G601" s="14"/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>
      <c r="A602" s="9"/>
      <c r="B602" s="9"/>
      <c r="C602" s="14"/>
      <c r="D602" s="14"/>
      <c r="E602" s="14"/>
      <c r="F602" s="14"/>
      <c r="G602" s="14"/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>
      <c r="A603" s="9"/>
      <c r="B603" s="9"/>
      <c r="C603" s="14"/>
      <c r="D603" s="14"/>
      <c r="E603" s="14"/>
      <c r="F603" s="14"/>
      <c r="G603" s="14"/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>
      <c r="A604" s="9"/>
      <c r="B604" s="9"/>
      <c r="C604" s="14"/>
      <c r="D604" s="14"/>
      <c r="E604" s="14"/>
      <c r="F604" s="14"/>
      <c r="G604" s="14"/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>
      <c r="A605" s="9"/>
      <c r="B605" s="9"/>
      <c r="C605" s="14"/>
      <c r="D605" s="14"/>
      <c r="E605" s="14"/>
      <c r="F605" s="14"/>
      <c r="G605" s="14"/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>
      <c r="A606" s="9"/>
      <c r="B606" s="9"/>
      <c r="C606" s="14"/>
      <c r="D606" s="14"/>
      <c r="E606" s="14"/>
      <c r="F606" s="14"/>
      <c r="G606" s="14"/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>
      <c r="A607" s="9"/>
      <c r="B607" s="9"/>
      <c r="C607" s="14"/>
      <c r="D607" s="14"/>
      <c r="E607" s="14"/>
      <c r="F607" s="14"/>
      <c r="G607" s="14"/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>
      <c r="A608" s="9"/>
      <c r="B608" s="9"/>
      <c r="C608" s="14"/>
      <c r="D608" s="14"/>
      <c r="E608" s="14"/>
      <c r="F608" s="14"/>
      <c r="G608" s="14"/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>
      <c r="A609" s="9"/>
      <c r="B609" s="9"/>
      <c r="C609" s="14"/>
      <c r="D609" s="14"/>
      <c r="E609" s="14"/>
      <c r="F609" s="14"/>
      <c r="G609" s="14"/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>
      <c r="A610" s="9"/>
      <c r="B610" s="9"/>
      <c r="C610" s="14"/>
      <c r="D610" s="14"/>
      <c r="E610" s="14"/>
      <c r="F610" s="14"/>
      <c r="G610" s="14"/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>
      <c r="A611" s="9"/>
      <c r="B611" s="9"/>
      <c r="C611" s="14"/>
      <c r="D611" s="14"/>
      <c r="E611" s="14"/>
      <c r="F611" s="14"/>
      <c r="G611" s="14"/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>
      <c r="A612" s="9"/>
      <c r="B612" s="9"/>
      <c r="C612" s="14"/>
      <c r="D612" s="14"/>
      <c r="E612" s="14"/>
      <c r="F612" s="14"/>
      <c r="G612" s="14"/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>
      <c r="A613" s="9"/>
      <c r="B613" s="9"/>
      <c r="C613" s="14"/>
      <c r="D613" s="14"/>
      <c r="E613" s="14"/>
      <c r="F613" s="14"/>
      <c r="G613" s="14"/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>
      <c r="A614" s="9"/>
      <c r="B614" s="9"/>
      <c r="C614" s="14"/>
      <c r="D614" s="14"/>
      <c r="E614" s="14"/>
      <c r="F614" s="14"/>
      <c r="G614" s="14"/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>
      <c r="A615" s="9"/>
      <c r="B615" s="9"/>
      <c r="C615" s="14"/>
      <c r="D615" s="14"/>
      <c r="E615" s="14"/>
      <c r="F615" s="14"/>
      <c r="G615" s="14"/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>
      <c r="A616" s="9"/>
      <c r="B616" s="9"/>
      <c r="C616" s="14"/>
      <c r="D616" s="14"/>
      <c r="E616" s="14"/>
      <c r="F616" s="14"/>
      <c r="G616" s="14"/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>
      <c r="A617" s="9"/>
      <c r="B617" s="9"/>
      <c r="C617" s="14"/>
      <c r="D617" s="14"/>
      <c r="E617" s="14"/>
      <c r="F617" s="14"/>
      <c r="G617" s="14"/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>
      <c r="A618" s="9"/>
      <c r="B618" s="9"/>
      <c r="C618" s="14"/>
      <c r="D618" s="14"/>
      <c r="E618" s="14"/>
      <c r="F618" s="14"/>
      <c r="G618" s="14"/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>
      <c r="A619" s="9"/>
      <c r="B619" s="9"/>
      <c r="C619" s="14"/>
      <c r="D619" s="14"/>
      <c r="E619" s="14"/>
      <c r="F619" s="14"/>
      <c r="G619" s="14"/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>
      <c r="A620" s="9"/>
      <c r="B620" s="9"/>
      <c r="C620" s="14"/>
      <c r="D620" s="14"/>
      <c r="E620" s="14"/>
      <c r="F620" s="14"/>
      <c r="G620" s="14"/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>
      <c r="A621" s="9"/>
      <c r="B621" s="9"/>
      <c r="C621" s="14"/>
      <c r="D621" s="14"/>
      <c r="E621" s="14"/>
      <c r="F621" s="14"/>
      <c r="G621" s="14"/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>
      <c r="A622" s="9"/>
      <c r="B622" s="9"/>
      <c r="C622" s="14"/>
      <c r="D622" s="14"/>
      <c r="E622" s="14"/>
      <c r="F622" s="14"/>
      <c r="G622" s="14"/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>
      <c r="A623" s="9"/>
      <c r="B623" s="9"/>
      <c r="C623" s="14"/>
      <c r="D623" s="14"/>
      <c r="E623" s="14"/>
      <c r="F623" s="14"/>
      <c r="G623" s="14"/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>
      <c r="A624" s="9"/>
      <c r="B624" s="9"/>
      <c r="C624" s="14"/>
      <c r="D624" s="14"/>
      <c r="E624" s="14"/>
      <c r="F624" s="14"/>
      <c r="G624" s="14"/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>
      <c r="A625" s="9"/>
      <c r="B625" s="9"/>
      <c r="C625" s="14"/>
      <c r="D625" s="14"/>
      <c r="E625" s="14"/>
      <c r="F625" s="14"/>
      <c r="G625" s="14"/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>
      <c r="A626" s="9"/>
      <c r="B626" s="9"/>
      <c r="C626" s="14"/>
      <c r="D626" s="14"/>
      <c r="E626" s="14"/>
      <c r="F626" s="14"/>
      <c r="G626" s="14"/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>
      <c r="A627" s="9"/>
      <c r="B627" s="9"/>
      <c r="C627" s="14"/>
      <c r="D627" s="14"/>
      <c r="E627" s="14"/>
      <c r="F627" s="14"/>
      <c r="G627" s="14"/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>
      <c r="A628" s="9"/>
      <c r="B628" s="9"/>
      <c r="C628" s="14"/>
      <c r="D628" s="14"/>
      <c r="E628" s="14"/>
      <c r="F628" s="14"/>
      <c r="G628" s="14"/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>
      <c r="A629" s="9"/>
      <c r="B629" s="9"/>
      <c r="C629" s="14"/>
      <c r="D629" s="14"/>
      <c r="E629" s="14"/>
      <c r="F629" s="14"/>
      <c r="G629" s="14"/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>
      <c r="A630" s="9"/>
      <c r="B630" s="9"/>
      <c r="C630" s="14"/>
      <c r="D630" s="14"/>
      <c r="E630" s="14"/>
      <c r="F630" s="14"/>
      <c r="G630" s="14"/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>
      <c r="A631" s="9"/>
      <c r="B631" s="9"/>
      <c r="C631" s="14"/>
      <c r="D631" s="14"/>
      <c r="E631" s="14"/>
      <c r="F631" s="14"/>
      <c r="G631" s="14"/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>
      <c r="A632" s="9"/>
      <c r="B632" s="9"/>
      <c r="C632" s="14"/>
      <c r="D632" s="14"/>
      <c r="E632" s="14"/>
      <c r="F632" s="14"/>
      <c r="G632" s="14"/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>
      <c r="A633" s="9"/>
      <c r="B633" s="9"/>
      <c r="C633" s="14"/>
      <c r="D633" s="14"/>
      <c r="E633" s="14"/>
      <c r="F633" s="14"/>
      <c r="G633" s="14"/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>
      <c r="A634" s="9"/>
      <c r="B634" s="9"/>
      <c r="C634" s="14"/>
      <c r="D634" s="14"/>
      <c r="E634" s="14"/>
      <c r="F634" s="14"/>
      <c r="G634" s="14"/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>
      <c r="A635" s="9"/>
      <c r="B635" s="9"/>
      <c r="C635" s="14"/>
      <c r="D635" s="14"/>
      <c r="E635" s="14"/>
      <c r="F635" s="14"/>
      <c r="G635" s="14"/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>
      <c r="A636" s="9"/>
      <c r="B636" s="9"/>
      <c r="C636" s="14"/>
      <c r="D636" s="14"/>
      <c r="E636" s="14"/>
      <c r="F636" s="14"/>
      <c r="G636" s="14"/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>
      <c r="A637" s="9"/>
      <c r="B637" s="9"/>
      <c r="C637" s="14"/>
      <c r="D637" s="14"/>
      <c r="E637" s="14"/>
      <c r="F637" s="14"/>
      <c r="G637" s="14"/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>
      <c r="A638" s="9"/>
      <c r="B638" s="9"/>
      <c r="C638" s="14"/>
      <c r="D638" s="14"/>
      <c r="E638" s="14"/>
      <c r="F638" s="14"/>
      <c r="G638" s="14"/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>
      <c r="A639" s="9"/>
      <c r="B639" s="9"/>
      <c r="C639" s="14"/>
      <c r="D639" s="14"/>
      <c r="E639" s="14"/>
      <c r="F639" s="14"/>
      <c r="G639" s="14"/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>
      <c r="A640" s="9"/>
      <c r="B640" s="9"/>
      <c r="C640" s="14"/>
      <c r="D640" s="14"/>
      <c r="E640" s="14"/>
      <c r="F640" s="14"/>
      <c r="G640" s="14"/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>
      <c r="A641" s="9"/>
      <c r="B641" s="9"/>
      <c r="C641" s="14"/>
      <c r="D641" s="14"/>
      <c r="E641" s="14"/>
      <c r="F641" s="14"/>
      <c r="G641" s="14"/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>
      <c r="A642" s="9"/>
      <c r="B642" s="9"/>
      <c r="C642" s="14"/>
      <c r="D642" s="14"/>
      <c r="E642" s="14"/>
      <c r="F642" s="14"/>
      <c r="G642" s="14"/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>
      <c r="A643" s="9"/>
      <c r="B643" s="9"/>
      <c r="C643" s="14"/>
      <c r="D643" s="14"/>
      <c r="E643" s="14"/>
      <c r="F643" s="14"/>
      <c r="G643" s="14"/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>
      <c r="A644" s="9"/>
      <c r="B644" s="9"/>
      <c r="C644" s="14"/>
      <c r="D644" s="14"/>
      <c r="E644" s="14"/>
      <c r="F644" s="14"/>
      <c r="G644" s="14"/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>
      <c r="A645" s="9"/>
      <c r="B645" s="9"/>
      <c r="C645" s="14"/>
      <c r="D645" s="14"/>
      <c r="E645" s="14"/>
      <c r="F645" s="14"/>
      <c r="G645" s="14"/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>
      <c r="A646" s="9"/>
      <c r="B646" s="9"/>
      <c r="C646" s="14"/>
      <c r="D646" s="14"/>
      <c r="E646" s="14"/>
      <c r="F646" s="14"/>
      <c r="G646" s="14"/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>
      <c r="A647" s="9"/>
      <c r="B647" s="9"/>
      <c r="C647" s="14"/>
      <c r="D647" s="14"/>
      <c r="E647" s="14"/>
      <c r="F647" s="14"/>
      <c r="G647" s="14"/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>
      <c r="A648" s="9"/>
      <c r="B648" s="9"/>
      <c r="C648" s="14"/>
      <c r="D648" s="14"/>
      <c r="E648" s="14"/>
      <c r="F648" s="14"/>
      <c r="G648" s="14"/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>
      <c r="A649" s="9"/>
      <c r="B649" s="9"/>
      <c r="C649" s="14"/>
      <c r="D649" s="14"/>
      <c r="E649" s="14"/>
      <c r="F649" s="14"/>
      <c r="G649" s="14"/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>
      <c r="A650" s="9"/>
      <c r="B650" s="9"/>
      <c r="C650" s="14"/>
      <c r="D650" s="14"/>
      <c r="E650" s="14"/>
      <c r="F650" s="14"/>
      <c r="G650" s="14"/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>
      <c r="A651" s="9"/>
      <c r="B651" s="9"/>
      <c r="C651" s="14"/>
      <c r="D651" s="14"/>
      <c r="E651" s="14"/>
      <c r="F651" s="14"/>
      <c r="G651" s="14"/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>
      <c r="A652" s="9"/>
      <c r="B652" s="9"/>
      <c r="C652" s="14"/>
      <c r="D652" s="14"/>
      <c r="E652" s="14"/>
      <c r="F652" s="14"/>
      <c r="G652" s="14"/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>
      <c r="A653" s="9"/>
      <c r="B653" s="9"/>
      <c r="C653" s="14"/>
      <c r="D653" s="14"/>
      <c r="E653" s="14"/>
      <c r="F653" s="14"/>
      <c r="G653" s="14"/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>
      <c r="A654" s="9"/>
      <c r="B654" s="9"/>
      <c r="C654" s="14"/>
      <c r="D654" s="14"/>
      <c r="E654" s="14"/>
      <c r="F654" s="14"/>
      <c r="G654" s="14"/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>
      <c r="A655" s="9"/>
      <c r="B655" s="9"/>
      <c r="C655" s="14"/>
      <c r="D655" s="14"/>
      <c r="E655" s="14"/>
      <c r="F655" s="14"/>
      <c r="G655" s="14"/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>
      <c r="A656" s="9"/>
      <c r="B656" s="9"/>
      <c r="C656" s="14"/>
      <c r="D656" s="14"/>
      <c r="E656" s="14"/>
      <c r="F656" s="14"/>
      <c r="G656" s="14"/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>
      <c r="A657" s="9"/>
      <c r="B657" s="9"/>
      <c r="C657" s="14"/>
      <c r="D657" s="14"/>
      <c r="E657" s="14"/>
      <c r="F657" s="14"/>
      <c r="G657" s="14"/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>
      <c r="A658" s="9"/>
      <c r="B658" s="9"/>
      <c r="C658" s="14"/>
      <c r="D658" s="14"/>
      <c r="E658" s="14"/>
      <c r="F658" s="14"/>
      <c r="G658" s="14"/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>
      <c r="A659" s="9"/>
      <c r="B659" s="9"/>
      <c r="C659" s="14"/>
      <c r="D659" s="14"/>
      <c r="E659" s="14"/>
      <c r="F659" s="14"/>
      <c r="G659" s="14"/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>
      <c r="A660" s="9"/>
      <c r="B660" s="9"/>
      <c r="C660" s="14"/>
      <c r="D660" s="14"/>
      <c r="E660" s="14"/>
      <c r="F660" s="14"/>
      <c r="G660" s="14"/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>
      <c r="A661" s="9"/>
      <c r="B661" s="9"/>
      <c r="C661" s="14"/>
      <c r="D661" s="14"/>
      <c r="E661" s="14"/>
      <c r="F661" s="14"/>
      <c r="G661" s="14"/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>
      <c r="A662" s="9"/>
      <c r="B662" s="9"/>
      <c r="C662" s="14"/>
      <c r="D662" s="14"/>
      <c r="E662" s="14"/>
      <c r="F662" s="14"/>
      <c r="G662" s="14"/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>
      <c r="A663" s="9"/>
      <c r="B663" s="9"/>
      <c r="C663" s="14"/>
      <c r="D663" s="14"/>
      <c r="E663" s="14"/>
      <c r="F663" s="14"/>
      <c r="G663" s="14"/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>
      <c r="A664" s="9"/>
      <c r="B664" s="9"/>
      <c r="C664" s="14"/>
      <c r="D664" s="14"/>
      <c r="E664" s="14"/>
      <c r="F664" s="14"/>
      <c r="G664" s="14"/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>
      <c r="A665" s="9"/>
      <c r="B665" s="9"/>
      <c r="C665" s="14"/>
      <c r="D665" s="14"/>
      <c r="E665" s="14"/>
      <c r="F665" s="14"/>
      <c r="G665" s="14"/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>
      <c r="A666" s="9"/>
      <c r="B666" s="9"/>
      <c r="C666" s="14"/>
      <c r="D666" s="14"/>
      <c r="E666" s="14"/>
      <c r="F666" s="14"/>
      <c r="G666" s="14"/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>
      <c r="A667" s="9"/>
      <c r="B667" s="9"/>
      <c r="C667" s="14"/>
      <c r="D667" s="14"/>
      <c r="E667" s="14"/>
      <c r="F667" s="14"/>
      <c r="G667" s="14"/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>
      <c r="A668" s="9"/>
      <c r="B668" s="9"/>
      <c r="C668" s="14"/>
      <c r="D668" s="14"/>
      <c r="E668" s="14"/>
      <c r="F668" s="14"/>
      <c r="G668" s="14"/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>
      <c r="A669" s="9"/>
      <c r="B669" s="9"/>
      <c r="C669" s="14"/>
      <c r="D669" s="14"/>
      <c r="E669" s="14"/>
      <c r="F669" s="14"/>
      <c r="G669" s="14"/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>
      <c r="A670" s="9"/>
      <c r="B670" s="9"/>
      <c r="C670" s="14"/>
      <c r="D670" s="14"/>
      <c r="E670" s="14"/>
      <c r="F670" s="14"/>
      <c r="G670" s="14"/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>
      <c r="A671" s="9"/>
      <c r="B671" s="9"/>
      <c r="C671" s="14"/>
      <c r="D671" s="14"/>
      <c r="E671" s="14"/>
      <c r="F671" s="14"/>
      <c r="G671" s="14"/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>
      <c r="A672" s="9"/>
      <c r="B672" s="9"/>
      <c r="C672" s="14"/>
      <c r="D672" s="14"/>
      <c r="E672" s="14"/>
      <c r="F672" s="14"/>
      <c r="G672" s="14"/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>
      <c r="A673" s="9"/>
      <c r="B673" s="9"/>
      <c r="C673" s="14"/>
      <c r="D673" s="14"/>
      <c r="E673" s="14"/>
      <c r="F673" s="14"/>
      <c r="G673" s="14"/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>
      <c r="A674" s="9"/>
      <c r="B674" s="9"/>
      <c r="C674" s="14"/>
      <c r="D674" s="14"/>
      <c r="E674" s="14"/>
      <c r="F674" s="14"/>
      <c r="G674" s="14"/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>
      <c r="A675" s="9"/>
      <c r="B675" s="9"/>
      <c r="C675" s="14"/>
      <c r="D675" s="14"/>
      <c r="E675" s="14"/>
      <c r="F675" s="14"/>
      <c r="G675" s="14"/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>
      <c r="A676" s="9"/>
      <c r="B676" s="9"/>
      <c r="C676" s="14"/>
      <c r="D676" s="14"/>
      <c r="E676" s="14"/>
      <c r="F676" s="14"/>
      <c r="G676" s="14"/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>
      <c r="A677" s="9"/>
      <c r="B677" s="9"/>
      <c r="C677" s="14"/>
      <c r="D677" s="14"/>
      <c r="E677" s="14"/>
      <c r="F677" s="14"/>
      <c r="G677" s="14"/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>
      <c r="A678" s="9"/>
      <c r="B678" s="9"/>
      <c r="C678" s="14"/>
      <c r="D678" s="14"/>
      <c r="E678" s="14"/>
      <c r="F678" s="14"/>
      <c r="G678" s="14"/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>
      <c r="A679" s="9"/>
      <c r="B679" s="9"/>
      <c r="C679" s="14"/>
      <c r="D679" s="14"/>
      <c r="E679" s="14"/>
      <c r="F679" s="14"/>
      <c r="G679" s="14"/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>
      <c r="A680" s="9"/>
      <c r="B680" s="9"/>
      <c r="C680" s="14"/>
      <c r="D680" s="14"/>
      <c r="E680" s="14"/>
      <c r="F680" s="14"/>
      <c r="G680" s="14"/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>
      <c r="A681" s="9"/>
      <c r="B681" s="9"/>
      <c r="C681" s="14"/>
      <c r="D681" s="14"/>
      <c r="E681" s="14"/>
      <c r="F681" s="14"/>
      <c r="G681" s="14"/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>
      <c r="A682" s="9"/>
      <c r="B682" s="9"/>
      <c r="C682" s="14"/>
      <c r="D682" s="14"/>
      <c r="E682" s="14"/>
      <c r="F682" s="14"/>
      <c r="G682" s="14"/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>
      <c r="A683" s="9"/>
      <c r="B683" s="9"/>
      <c r="C683" s="14"/>
      <c r="D683" s="14"/>
      <c r="E683" s="14"/>
      <c r="F683" s="14"/>
      <c r="G683" s="14"/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>
      <c r="A684" s="9"/>
      <c r="B684" s="9"/>
      <c r="C684" s="14"/>
      <c r="D684" s="14"/>
      <c r="E684" s="14"/>
      <c r="F684" s="14"/>
      <c r="G684" s="14"/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>
      <c r="A685" s="9"/>
      <c r="B685" s="9"/>
      <c r="C685" s="14"/>
      <c r="D685" s="14"/>
      <c r="E685" s="14"/>
      <c r="F685" s="14"/>
      <c r="G685" s="14"/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>
      <c r="A686" s="9"/>
      <c r="B686" s="9"/>
      <c r="C686" s="14"/>
      <c r="D686" s="14"/>
      <c r="E686" s="14"/>
      <c r="F686" s="14"/>
      <c r="G686" s="14"/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>
      <c r="A687" s="9"/>
      <c r="B687" s="9"/>
      <c r="C687" s="14"/>
      <c r="D687" s="14"/>
      <c r="E687" s="14"/>
      <c r="F687" s="14"/>
      <c r="G687" s="14"/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>
      <c r="A688" s="9"/>
      <c r="B688" s="9"/>
      <c r="C688" s="14"/>
      <c r="D688" s="14"/>
      <c r="E688" s="14"/>
      <c r="F688" s="14"/>
      <c r="G688" s="14"/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>
      <c r="A689" s="9"/>
      <c r="B689" s="9"/>
      <c r="C689" s="14"/>
      <c r="D689" s="14"/>
      <c r="E689" s="14"/>
      <c r="F689" s="14"/>
      <c r="G689" s="14"/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>
      <c r="A690" s="9"/>
      <c r="B690" s="9"/>
      <c r="C690" s="14"/>
      <c r="D690" s="14"/>
      <c r="E690" s="14"/>
      <c r="F690" s="14"/>
      <c r="G690" s="14"/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>
      <c r="A691" s="9"/>
      <c r="B691" s="9"/>
      <c r="C691" s="14"/>
      <c r="D691" s="14"/>
      <c r="E691" s="14"/>
      <c r="F691" s="14"/>
      <c r="G691" s="14"/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>
      <c r="A692" s="9"/>
      <c r="B692" s="9"/>
      <c r="C692" s="14"/>
      <c r="D692" s="14"/>
      <c r="E692" s="14"/>
      <c r="F692" s="14"/>
      <c r="G692" s="14"/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>
      <c r="A693" s="9"/>
      <c r="B693" s="9"/>
      <c r="C693" s="14"/>
      <c r="D693" s="14"/>
      <c r="E693" s="14"/>
      <c r="F693" s="14"/>
      <c r="G693" s="14"/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>
      <c r="A694" s="9"/>
      <c r="B694" s="9"/>
      <c r="C694" s="14"/>
      <c r="D694" s="14"/>
      <c r="E694" s="14"/>
      <c r="F694" s="14"/>
      <c r="G694" s="14"/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>
      <c r="A695" s="9"/>
      <c r="B695" s="9"/>
      <c r="C695" s="14"/>
      <c r="D695" s="14"/>
      <c r="E695" s="14"/>
      <c r="F695" s="14"/>
      <c r="G695" s="14"/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>
      <c r="A696" s="9"/>
      <c r="B696" s="9"/>
      <c r="C696" s="14"/>
      <c r="D696" s="14"/>
      <c r="E696" s="14"/>
      <c r="F696" s="14"/>
      <c r="G696" s="14"/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>
      <c r="A697" s="9"/>
      <c r="B697" s="9"/>
      <c r="C697" s="14"/>
      <c r="D697" s="14"/>
      <c r="E697" s="14"/>
      <c r="F697" s="14"/>
      <c r="G697" s="14"/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>
      <c r="A698" s="9"/>
      <c r="B698" s="9"/>
      <c r="C698" s="14"/>
      <c r="D698" s="14"/>
      <c r="E698" s="14"/>
      <c r="F698" s="14"/>
      <c r="G698" s="14"/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>
      <c r="A699" s="9"/>
      <c r="B699" s="9"/>
      <c r="C699" s="14"/>
      <c r="D699" s="14"/>
      <c r="E699" s="14"/>
      <c r="F699" s="14"/>
      <c r="G699" s="14"/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>
      <c r="A700" s="9"/>
      <c r="B700" s="9"/>
      <c r="C700" s="14"/>
      <c r="D700" s="14"/>
      <c r="E700" s="14"/>
      <c r="F700" s="14"/>
      <c r="G700" s="14"/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>
      <c r="A701" s="9"/>
      <c r="B701" s="9"/>
      <c r="C701" s="14"/>
      <c r="D701" s="14"/>
      <c r="E701" s="14"/>
      <c r="F701" s="14"/>
      <c r="G701" s="14"/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>
      <c r="A702" s="9"/>
      <c r="B702" s="9"/>
      <c r="C702" s="14"/>
      <c r="D702" s="14"/>
      <c r="E702" s="14"/>
      <c r="F702" s="14"/>
      <c r="G702" s="14"/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>
      <c r="A703" s="9"/>
      <c r="B703" s="9"/>
      <c r="C703" s="14"/>
      <c r="D703" s="14"/>
      <c r="E703" s="14"/>
      <c r="F703" s="14"/>
      <c r="G703" s="14"/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>
      <c r="A704" s="9"/>
      <c r="B704" s="9"/>
      <c r="C704" s="14"/>
      <c r="D704" s="14"/>
      <c r="E704" s="14"/>
      <c r="F704" s="14"/>
      <c r="G704" s="14"/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>
      <c r="A705" s="9"/>
      <c r="B705" s="9"/>
      <c r="C705" s="14"/>
      <c r="D705" s="14"/>
      <c r="E705" s="14"/>
      <c r="F705" s="14"/>
      <c r="G705" s="14"/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>
      <c r="A706" s="9"/>
      <c r="B706" s="9"/>
      <c r="C706" s="14"/>
      <c r="D706" s="14"/>
      <c r="E706" s="14"/>
      <c r="F706" s="14"/>
      <c r="G706" s="14"/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>
      <c r="A707" s="9"/>
      <c r="B707" s="9"/>
      <c r="C707" s="14"/>
      <c r="D707" s="14"/>
      <c r="E707" s="14"/>
      <c r="F707" s="14"/>
      <c r="G707" s="14"/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>
      <c r="A708" s="9"/>
      <c r="B708" s="9"/>
      <c r="C708" s="14"/>
      <c r="D708" s="14"/>
      <c r="E708" s="14"/>
      <c r="F708" s="14"/>
      <c r="G708" s="14"/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>
      <c r="A709" s="9"/>
      <c r="B709" s="9"/>
      <c r="C709" s="14"/>
      <c r="D709" s="14"/>
      <c r="E709" s="14"/>
      <c r="F709" s="14"/>
      <c r="G709" s="14"/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>
      <c r="A710" s="9"/>
      <c r="B710" s="9"/>
      <c r="C710" s="14"/>
      <c r="D710" s="14"/>
      <c r="E710" s="14"/>
      <c r="F710" s="14"/>
      <c r="G710" s="14"/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>
      <c r="A711" s="9"/>
      <c r="B711" s="9"/>
      <c r="C711" s="14"/>
      <c r="D711" s="14"/>
      <c r="E711" s="14"/>
      <c r="F711" s="14"/>
      <c r="G711" s="14"/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>
      <c r="A712" s="9"/>
      <c r="B712" s="9"/>
      <c r="C712" s="14"/>
      <c r="D712" s="14"/>
      <c r="E712" s="14"/>
      <c r="F712" s="14"/>
      <c r="G712" s="14"/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>
      <c r="A713" s="9"/>
      <c r="B713" s="9"/>
      <c r="C713" s="14"/>
      <c r="D713" s="14"/>
      <c r="E713" s="14"/>
      <c r="F713" s="14"/>
      <c r="G713" s="14"/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>
      <c r="A714" s="9"/>
      <c r="B714" s="9"/>
      <c r="C714" s="14"/>
      <c r="D714" s="14"/>
      <c r="E714" s="14"/>
      <c r="F714" s="14"/>
      <c r="G714" s="14"/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>
      <c r="A715" s="9"/>
      <c r="B715" s="9"/>
      <c r="C715" s="14"/>
      <c r="D715" s="14"/>
      <c r="E715" s="14"/>
      <c r="F715" s="14"/>
      <c r="G715" s="14"/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>
      <c r="A716" s="9"/>
      <c r="B716" s="9"/>
      <c r="C716" s="14"/>
      <c r="D716" s="14"/>
      <c r="E716" s="14"/>
      <c r="F716" s="14"/>
      <c r="G716" s="14"/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>
      <c r="A717" s="9"/>
      <c r="B717" s="9"/>
      <c r="C717" s="14"/>
      <c r="D717" s="14"/>
      <c r="E717" s="14"/>
      <c r="F717" s="14"/>
      <c r="G717" s="14"/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>
      <c r="A718" s="9"/>
      <c r="B718" s="9"/>
      <c r="C718" s="14"/>
      <c r="D718" s="14"/>
      <c r="E718" s="14"/>
      <c r="F718" s="14"/>
      <c r="G718" s="14"/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>
      <c r="A719" s="9"/>
      <c r="B719" s="9"/>
      <c r="C719" s="14"/>
      <c r="D719" s="14"/>
      <c r="E719" s="14"/>
      <c r="F719" s="14"/>
      <c r="G719" s="14"/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>
      <c r="A720" s="9"/>
      <c r="B720" s="9"/>
      <c r="C720" s="14"/>
      <c r="D720" s="14"/>
      <c r="E720" s="14"/>
      <c r="F720" s="14"/>
      <c r="G720" s="14"/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>
      <c r="A721" s="9"/>
      <c r="B721" s="9"/>
      <c r="C721" s="14"/>
      <c r="D721" s="14"/>
      <c r="E721" s="14"/>
      <c r="F721" s="14"/>
      <c r="G721" s="14"/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>
      <c r="A722" s="9"/>
      <c r="B722" s="9"/>
      <c r="C722" s="14"/>
      <c r="D722" s="14"/>
      <c r="E722" s="14"/>
      <c r="F722" s="14"/>
      <c r="G722" s="14"/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>
      <c r="A723" s="9"/>
      <c r="B723" s="9"/>
      <c r="C723" s="14"/>
      <c r="D723" s="14"/>
      <c r="E723" s="14"/>
      <c r="F723" s="14"/>
      <c r="G723" s="14"/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>
      <c r="A724" s="9"/>
      <c r="B724" s="9"/>
      <c r="C724" s="14"/>
      <c r="D724" s="14"/>
      <c r="E724" s="14"/>
      <c r="F724" s="14"/>
      <c r="G724" s="14"/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>
      <c r="A725" s="9"/>
      <c r="B725" s="9"/>
      <c r="C725" s="14"/>
      <c r="D725" s="14"/>
      <c r="E725" s="14"/>
      <c r="F725" s="14"/>
      <c r="G725" s="14"/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>
      <c r="A726" s="9"/>
      <c r="B726" s="9"/>
      <c r="C726" s="14"/>
      <c r="D726" s="14"/>
      <c r="E726" s="14"/>
      <c r="F726" s="14"/>
      <c r="G726" s="14"/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>
      <c r="A727" s="9"/>
      <c r="B727" s="9"/>
      <c r="C727" s="14"/>
      <c r="D727" s="14"/>
      <c r="E727" s="14"/>
      <c r="F727" s="14"/>
      <c r="G727" s="14"/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>
      <c r="A728" s="9"/>
      <c r="B728" s="9"/>
      <c r="C728" s="14"/>
      <c r="D728" s="14"/>
      <c r="E728" s="14"/>
      <c r="F728" s="14"/>
      <c r="G728" s="14"/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>
      <c r="A729" s="9"/>
      <c r="B729" s="9"/>
      <c r="C729" s="14"/>
      <c r="D729" s="14"/>
      <c r="E729" s="14"/>
      <c r="F729" s="14"/>
      <c r="G729" s="14"/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>
      <c r="A730" s="9"/>
      <c r="B730" s="9"/>
      <c r="C730" s="14"/>
      <c r="D730" s="14"/>
      <c r="E730" s="14"/>
      <c r="F730" s="14"/>
      <c r="G730" s="14"/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>
      <c r="A731" s="9"/>
      <c r="B731" s="9"/>
      <c r="C731" s="14"/>
      <c r="D731" s="14"/>
      <c r="E731" s="14"/>
      <c r="F731" s="14"/>
      <c r="G731" s="14"/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>
      <c r="A732" s="9"/>
      <c r="B732" s="9"/>
      <c r="C732" s="14"/>
      <c r="D732" s="14"/>
      <c r="E732" s="14"/>
      <c r="F732" s="14"/>
      <c r="G732" s="14"/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>
      <c r="A733" s="9"/>
      <c r="B733" s="9"/>
      <c r="C733" s="14"/>
      <c r="D733" s="14"/>
      <c r="E733" s="14"/>
      <c r="F733" s="14"/>
      <c r="G733" s="14"/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>
      <c r="A734" s="9"/>
      <c r="B734" s="9"/>
      <c r="C734" s="14"/>
      <c r="D734" s="14"/>
      <c r="E734" s="14"/>
      <c r="F734" s="14"/>
      <c r="G734" s="14"/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>
      <c r="A735" s="9"/>
      <c r="B735" s="9"/>
      <c r="C735" s="14"/>
      <c r="D735" s="14"/>
      <c r="E735" s="14"/>
      <c r="F735" s="14"/>
      <c r="G735" s="14"/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>
      <c r="A736" s="9"/>
      <c r="B736" s="9"/>
      <c r="C736" s="14"/>
      <c r="D736" s="14"/>
      <c r="E736" s="14"/>
      <c r="F736" s="14"/>
      <c r="G736" s="14"/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>
      <c r="A737" s="9"/>
      <c r="B737" s="9"/>
      <c r="C737" s="14"/>
      <c r="D737" s="14"/>
      <c r="E737" s="14"/>
      <c r="F737" s="14"/>
      <c r="G737" s="14"/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>
      <c r="A738" s="9"/>
      <c r="B738" s="9"/>
      <c r="C738" s="14"/>
      <c r="D738" s="14"/>
      <c r="E738" s="14"/>
      <c r="F738" s="14"/>
      <c r="G738" s="14"/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>
      <c r="A739" s="9"/>
      <c r="B739" s="9"/>
      <c r="C739" s="14"/>
      <c r="D739" s="14"/>
      <c r="E739" s="14"/>
      <c r="F739" s="14"/>
      <c r="G739" s="14"/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>
      <c r="A740" s="9"/>
      <c r="B740" s="9"/>
      <c r="C740" s="14"/>
      <c r="D740" s="14"/>
      <c r="E740" s="14"/>
      <c r="F740" s="14"/>
      <c r="G740" s="14"/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>
      <c r="A741" s="9"/>
      <c r="B741" s="9"/>
      <c r="C741" s="14"/>
      <c r="D741" s="14"/>
      <c r="E741" s="14"/>
      <c r="F741" s="14"/>
      <c r="G741" s="14"/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>
      <c r="A742" s="9"/>
      <c r="B742" s="9"/>
      <c r="C742" s="14"/>
      <c r="D742" s="14"/>
      <c r="E742" s="14"/>
      <c r="F742" s="14"/>
      <c r="G742" s="14"/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>
      <c r="A743" s="9"/>
      <c r="B743" s="9"/>
      <c r="C743" s="14"/>
      <c r="D743" s="14"/>
      <c r="E743" s="14"/>
      <c r="F743" s="14"/>
      <c r="G743" s="14"/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>
      <c r="A744" s="9"/>
      <c r="B744" s="9"/>
      <c r="C744" s="14"/>
      <c r="D744" s="14"/>
      <c r="E744" s="14"/>
      <c r="F744" s="14"/>
      <c r="G744" s="14"/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>
      <c r="A745" s="9"/>
      <c r="B745" s="9"/>
      <c r="C745" s="14"/>
      <c r="D745" s="14"/>
      <c r="E745" s="14"/>
      <c r="F745" s="14"/>
      <c r="G745" s="14"/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>
      <c r="A746" s="9"/>
      <c r="B746" s="9"/>
      <c r="C746" s="14"/>
      <c r="D746" s="14"/>
      <c r="E746" s="14"/>
      <c r="F746" s="14"/>
      <c r="G746" s="14"/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>
      <c r="A747" s="9"/>
      <c r="B747" s="9"/>
      <c r="C747" s="14"/>
      <c r="D747" s="14"/>
      <c r="E747" s="14"/>
      <c r="F747" s="14"/>
      <c r="G747" s="14"/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>
      <c r="A748" s="9"/>
      <c r="B748" s="9"/>
      <c r="C748" s="14"/>
      <c r="D748" s="14"/>
      <c r="E748" s="14"/>
      <c r="F748" s="14"/>
      <c r="G748" s="14"/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>
      <c r="A749" s="9"/>
      <c r="B749" s="9"/>
      <c r="C749" s="14"/>
      <c r="D749" s="14"/>
      <c r="E749" s="14"/>
      <c r="F749" s="14"/>
      <c r="G749" s="14"/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>
      <c r="A750" s="9"/>
      <c r="B750" s="9"/>
      <c r="C750" s="14"/>
      <c r="D750" s="14"/>
      <c r="E750" s="14"/>
      <c r="F750" s="14"/>
      <c r="G750" s="14"/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>
      <c r="A751" s="9"/>
      <c r="B751" s="9"/>
      <c r="C751" s="14"/>
      <c r="D751" s="14"/>
      <c r="E751" s="14"/>
      <c r="F751" s="14"/>
      <c r="G751" s="14"/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>
      <c r="A752" s="9"/>
      <c r="B752" s="9"/>
      <c r="C752" s="14"/>
      <c r="D752" s="14"/>
      <c r="E752" s="14"/>
      <c r="F752" s="14"/>
      <c r="G752" s="14"/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>
      <c r="A753" s="9"/>
      <c r="B753" s="9"/>
      <c r="C753" s="14"/>
      <c r="D753" s="14"/>
      <c r="E753" s="14"/>
      <c r="F753" s="14"/>
      <c r="G753" s="14"/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>
      <c r="A754" s="9"/>
      <c r="B754" s="9"/>
      <c r="C754" s="14"/>
      <c r="D754" s="14"/>
      <c r="E754" s="14"/>
      <c r="F754" s="14"/>
      <c r="G754" s="14"/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>
      <c r="A755" s="9"/>
      <c r="B755" s="9"/>
      <c r="C755" s="14"/>
      <c r="D755" s="14"/>
      <c r="E755" s="14"/>
      <c r="F755" s="14"/>
      <c r="G755" s="14"/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>
      <c r="A756" s="9"/>
      <c r="B756" s="9"/>
      <c r="C756" s="14"/>
      <c r="D756" s="14"/>
      <c r="E756" s="14"/>
      <c r="F756" s="14"/>
      <c r="G756" s="14"/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>
      <c r="A757" s="9"/>
      <c r="B757" s="9"/>
      <c r="C757" s="14"/>
      <c r="D757" s="14"/>
      <c r="E757" s="14"/>
      <c r="F757" s="14"/>
      <c r="G757" s="14"/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>
      <c r="A758" s="9"/>
      <c r="B758" s="9"/>
      <c r="C758" s="14"/>
      <c r="D758" s="14"/>
      <c r="E758" s="14"/>
      <c r="F758" s="14"/>
      <c r="G758" s="14"/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>
      <c r="A759" s="9"/>
      <c r="B759" s="9"/>
      <c r="C759" s="14"/>
      <c r="D759" s="14"/>
      <c r="E759" s="14"/>
      <c r="F759" s="14"/>
      <c r="G759" s="14"/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>
      <c r="A760" s="9"/>
      <c r="B760" s="9"/>
      <c r="C760" s="14"/>
      <c r="D760" s="14"/>
      <c r="E760" s="14"/>
      <c r="F760" s="14"/>
      <c r="G760" s="14"/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>
      <c r="A761" s="9"/>
      <c r="B761" s="9"/>
      <c r="C761" s="14"/>
      <c r="D761" s="14"/>
      <c r="E761" s="14"/>
      <c r="F761" s="14"/>
      <c r="G761" s="14"/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>
      <c r="A762" s="9"/>
      <c r="B762" s="9"/>
      <c r="C762" s="14"/>
      <c r="D762" s="14"/>
      <c r="E762" s="14"/>
      <c r="F762" s="14"/>
      <c r="G762" s="14"/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>
      <c r="A763" s="9"/>
      <c r="B763" s="9"/>
      <c r="C763" s="14"/>
      <c r="D763" s="14"/>
      <c r="E763" s="14"/>
      <c r="F763" s="14"/>
      <c r="G763" s="14"/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>
      <c r="A764" s="9"/>
      <c r="B764" s="9"/>
      <c r="C764" s="14"/>
      <c r="D764" s="14"/>
      <c r="E764" s="14"/>
      <c r="F764" s="14"/>
      <c r="G764" s="14"/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>
      <c r="A765" s="9"/>
      <c r="B765" s="9"/>
      <c r="C765" s="14"/>
      <c r="D765" s="14"/>
      <c r="E765" s="14"/>
      <c r="F765" s="14"/>
      <c r="G765" s="14"/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>
      <c r="A766" s="9"/>
      <c r="B766" s="9"/>
      <c r="C766" s="14"/>
      <c r="D766" s="14"/>
      <c r="E766" s="14"/>
      <c r="F766" s="14"/>
      <c r="G766" s="14"/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>
      <c r="A767" s="9"/>
      <c r="B767" s="9"/>
      <c r="C767" s="14"/>
      <c r="D767" s="14"/>
      <c r="E767" s="14"/>
      <c r="F767" s="14"/>
      <c r="G767" s="14"/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>
      <c r="A768" s="9"/>
      <c r="B768" s="9"/>
      <c r="C768" s="14"/>
      <c r="D768" s="14"/>
      <c r="E768" s="14"/>
      <c r="F768" s="14"/>
      <c r="G768" s="14"/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>
      <c r="A769" s="9"/>
      <c r="B769" s="9"/>
      <c r="C769" s="14"/>
      <c r="D769" s="14"/>
      <c r="E769" s="14"/>
      <c r="F769" s="14"/>
      <c r="G769" s="14"/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>
      <c r="A770" s="9"/>
      <c r="B770" s="9"/>
      <c r="C770" s="14"/>
      <c r="D770" s="14"/>
      <c r="E770" s="14"/>
      <c r="F770" s="14"/>
      <c r="G770" s="14"/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>
      <c r="A771" s="9"/>
      <c r="B771" s="9"/>
      <c r="C771" s="14"/>
      <c r="D771" s="14"/>
      <c r="E771" s="14"/>
      <c r="F771" s="14"/>
      <c r="G771" s="14"/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>
      <c r="A772" s="9"/>
      <c r="B772" s="9"/>
      <c r="C772" s="14"/>
      <c r="D772" s="14"/>
      <c r="E772" s="14"/>
      <c r="F772" s="14"/>
      <c r="G772" s="14"/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>
      <c r="A773" s="9"/>
      <c r="B773" s="9"/>
      <c r="C773" s="14"/>
      <c r="D773" s="14"/>
      <c r="E773" s="14"/>
      <c r="F773" s="14"/>
      <c r="G773" s="14"/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>
      <c r="A774" s="9"/>
      <c r="B774" s="9"/>
      <c r="C774" s="14"/>
      <c r="D774" s="14"/>
      <c r="E774" s="14"/>
      <c r="F774" s="14"/>
      <c r="G774" s="14"/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>
      <c r="A775" s="9"/>
      <c r="B775" s="9"/>
      <c r="C775" s="14"/>
      <c r="D775" s="14"/>
      <c r="E775" s="14"/>
      <c r="F775" s="14"/>
      <c r="G775" s="14"/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>
      <c r="A776" s="9"/>
      <c r="B776" s="9"/>
      <c r="C776" s="14"/>
      <c r="D776" s="14"/>
      <c r="E776" s="14"/>
      <c r="F776" s="14"/>
      <c r="G776" s="14"/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>
      <c r="A777" s="9"/>
      <c r="B777" s="9"/>
      <c r="C777" s="14"/>
      <c r="D777" s="14"/>
      <c r="E777" s="14"/>
      <c r="F777" s="14"/>
      <c r="G777" s="14"/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>
      <c r="A778" s="9"/>
      <c r="B778" s="9"/>
      <c r="C778" s="14"/>
      <c r="D778" s="14"/>
      <c r="E778" s="14"/>
      <c r="F778" s="14"/>
      <c r="G778" s="14"/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>
      <c r="A779" s="9"/>
      <c r="B779" s="9"/>
      <c r="C779" s="14"/>
      <c r="D779" s="14"/>
      <c r="E779" s="14"/>
      <c r="F779" s="14"/>
      <c r="G779" s="14"/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>
      <c r="A780" s="9"/>
      <c r="B780" s="9"/>
      <c r="C780" s="14"/>
      <c r="D780" s="14"/>
      <c r="E780" s="14"/>
      <c r="F780" s="14"/>
      <c r="G780" s="14"/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>
      <c r="A781" s="9"/>
      <c r="B781" s="9"/>
      <c r="C781" s="14"/>
      <c r="D781" s="14"/>
      <c r="E781" s="14"/>
      <c r="F781" s="14"/>
      <c r="G781" s="14"/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>
      <c r="A782" s="9"/>
      <c r="B782" s="9"/>
      <c r="C782" s="14"/>
      <c r="D782" s="14"/>
      <c r="E782" s="14"/>
      <c r="F782" s="14"/>
      <c r="G782" s="14"/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>
      <c r="A783" s="9"/>
      <c r="B783" s="9"/>
      <c r="C783" s="14"/>
      <c r="D783" s="14"/>
      <c r="E783" s="14"/>
      <c r="F783" s="14"/>
      <c r="G783" s="14"/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>
      <c r="A784" s="9"/>
      <c r="B784" s="9"/>
      <c r="C784" s="14"/>
      <c r="D784" s="14"/>
      <c r="E784" s="14"/>
      <c r="F784" s="14"/>
      <c r="G784" s="14"/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>
      <c r="A785" s="9"/>
      <c r="B785" s="9"/>
      <c r="C785" s="14"/>
      <c r="D785" s="14"/>
      <c r="E785" s="14"/>
      <c r="F785" s="14"/>
      <c r="G785" s="14"/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>
      <c r="A786" s="9"/>
      <c r="B786" s="9"/>
      <c r="C786" s="14"/>
      <c r="D786" s="14"/>
      <c r="E786" s="14"/>
      <c r="F786" s="14"/>
      <c r="G786" s="14"/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>
      <c r="A787" s="9"/>
      <c r="B787" s="9"/>
      <c r="C787" s="14"/>
      <c r="D787" s="14"/>
      <c r="E787" s="14"/>
      <c r="F787" s="14"/>
      <c r="G787" s="14"/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>
      <c r="A788" s="9"/>
      <c r="B788" s="9"/>
      <c r="C788" s="14"/>
      <c r="D788" s="14"/>
      <c r="E788" s="14"/>
      <c r="F788" s="14"/>
      <c r="G788" s="14"/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>
      <c r="A789" s="9"/>
      <c r="B789" s="9"/>
      <c r="C789" s="14"/>
      <c r="D789" s="14"/>
      <c r="E789" s="14"/>
      <c r="F789" s="14"/>
      <c r="G789" s="14"/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>
      <c r="A790" s="9"/>
      <c r="B790" s="9"/>
      <c r="C790" s="14"/>
      <c r="D790" s="14"/>
      <c r="E790" s="14"/>
      <c r="F790" s="14"/>
      <c r="G790" s="14"/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>
      <c r="A791" s="9"/>
      <c r="B791" s="9"/>
      <c r="C791" s="14"/>
      <c r="D791" s="14"/>
      <c r="E791" s="14"/>
      <c r="F791" s="14"/>
      <c r="G791" s="14"/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>
      <c r="A792" s="9"/>
      <c r="B792" s="9"/>
      <c r="C792" s="14"/>
      <c r="D792" s="14"/>
      <c r="E792" s="14"/>
      <c r="F792" s="14"/>
      <c r="G792" s="14"/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>
      <c r="A793" s="9"/>
      <c r="B793" s="9"/>
      <c r="C793" s="14"/>
      <c r="D793" s="14"/>
      <c r="E793" s="14"/>
      <c r="F793" s="14"/>
      <c r="G793" s="14"/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>
      <c r="A794" s="9"/>
      <c r="B794" s="9"/>
      <c r="C794" s="14"/>
      <c r="D794" s="14"/>
      <c r="E794" s="14"/>
      <c r="F794" s="14"/>
      <c r="G794" s="14"/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>
      <c r="A795" s="9"/>
      <c r="B795" s="9"/>
      <c r="C795" s="14"/>
      <c r="D795" s="14"/>
      <c r="E795" s="14"/>
      <c r="F795" s="14"/>
      <c r="G795" s="14"/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>
      <c r="A796" s="9"/>
      <c r="B796" s="9"/>
      <c r="C796" s="14"/>
      <c r="D796" s="14"/>
      <c r="E796" s="14"/>
      <c r="F796" s="14"/>
      <c r="G796" s="14"/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>
      <c r="A797" s="9"/>
      <c r="B797" s="9"/>
      <c r="C797" s="14"/>
      <c r="D797" s="14"/>
      <c r="E797" s="14"/>
      <c r="F797" s="14"/>
      <c r="G797" s="14"/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>
      <c r="A798" s="9"/>
      <c r="B798" s="9"/>
      <c r="C798" s="14"/>
      <c r="D798" s="14"/>
      <c r="E798" s="14"/>
      <c r="F798" s="14"/>
      <c r="G798" s="14"/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>
      <c r="A799" s="9"/>
      <c r="B799" s="9"/>
      <c r="C799" s="14"/>
      <c r="D799" s="14"/>
      <c r="E799" s="14"/>
      <c r="F799" s="14"/>
      <c r="G799" s="14"/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>
      <c r="A800" s="9"/>
      <c r="B800" s="9"/>
      <c r="C800" s="14"/>
      <c r="D800" s="14"/>
      <c r="E800" s="14"/>
      <c r="F800" s="14"/>
      <c r="G800" s="14"/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>
      <c r="A801" s="9"/>
      <c r="B801" s="9"/>
      <c r="C801" s="14"/>
      <c r="D801" s="14"/>
      <c r="E801" s="14"/>
      <c r="F801" s="14"/>
      <c r="G801" s="14"/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>
      <c r="A802" s="9"/>
      <c r="B802" s="9"/>
      <c r="C802" s="14"/>
      <c r="D802" s="14"/>
      <c r="E802" s="14"/>
      <c r="F802" s="14"/>
      <c r="G802" s="14"/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>
      <c r="A803" s="9"/>
      <c r="B803" s="9"/>
      <c r="C803" s="14"/>
      <c r="D803" s="14"/>
      <c r="E803" s="14"/>
      <c r="F803" s="14"/>
      <c r="G803" s="14"/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>
      <c r="A804" s="9"/>
      <c r="B804" s="9"/>
      <c r="C804" s="14"/>
      <c r="D804" s="14"/>
      <c r="E804" s="14"/>
      <c r="F804" s="14"/>
      <c r="G804" s="14"/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>
      <c r="A805" s="9"/>
      <c r="B805" s="9"/>
      <c r="C805" s="14"/>
      <c r="D805" s="14"/>
      <c r="E805" s="14"/>
      <c r="F805" s="14"/>
      <c r="G805" s="14"/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>
      <c r="A806" s="9"/>
      <c r="B806" s="9"/>
      <c r="C806" s="14"/>
      <c r="D806" s="14"/>
      <c r="E806" s="14"/>
      <c r="F806" s="14"/>
      <c r="G806" s="14"/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>
      <c r="A807" s="9"/>
      <c r="B807" s="9"/>
      <c r="C807" s="14"/>
      <c r="D807" s="14"/>
      <c r="E807" s="14"/>
      <c r="F807" s="14"/>
      <c r="G807" s="14"/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>
      <c r="A808" s="9"/>
      <c r="B808" s="9"/>
      <c r="C808" s="14"/>
      <c r="D808" s="14"/>
      <c r="E808" s="14"/>
      <c r="F808" s="14"/>
      <c r="G808" s="14"/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>
      <c r="A809" s="9"/>
      <c r="B809" s="9"/>
      <c r="C809" s="14"/>
      <c r="D809" s="14"/>
      <c r="E809" s="14"/>
      <c r="F809" s="14"/>
      <c r="G809" s="14"/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>
      <c r="A810" s="9"/>
      <c r="B810" s="9"/>
      <c r="C810" s="14"/>
      <c r="D810" s="14"/>
      <c r="E810" s="14"/>
      <c r="F810" s="14"/>
      <c r="G810" s="14"/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>
      <c r="A811" s="9"/>
      <c r="B811" s="9"/>
      <c r="C811" s="14"/>
      <c r="D811" s="14"/>
      <c r="E811" s="14"/>
      <c r="F811" s="14"/>
      <c r="G811" s="14"/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>
      <c r="A812" s="9"/>
      <c r="B812" s="9"/>
      <c r="C812" s="14"/>
      <c r="D812" s="14"/>
      <c r="E812" s="14"/>
      <c r="F812" s="14"/>
      <c r="G812" s="14"/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>
      <c r="A813" s="9"/>
      <c r="B813" s="9"/>
      <c r="C813" s="14"/>
      <c r="D813" s="14"/>
      <c r="E813" s="14"/>
      <c r="F813" s="14"/>
      <c r="G813" s="14"/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>
      <c r="A814" s="9"/>
      <c r="B814" s="9"/>
      <c r="C814" s="14"/>
      <c r="D814" s="14"/>
      <c r="E814" s="14"/>
      <c r="F814" s="14"/>
      <c r="G814" s="14"/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>
      <c r="A815" s="9"/>
      <c r="B815" s="9"/>
      <c r="C815" s="14"/>
      <c r="D815" s="14"/>
      <c r="E815" s="14"/>
      <c r="F815" s="14"/>
      <c r="G815" s="14"/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>
      <c r="A816" s="9"/>
      <c r="B816" s="9"/>
      <c r="C816" s="14"/>
      <c r="D816" s="14"/>
      <c r="E816" s="14"/>
      <c r="F816" s="14"/>
      <c r="G816" s="14"/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>
      <c r="A817" s="9"/>
      <c r="B817" s="9"/>
      <c r="C817" s="14"/>
      <c r="D817" s="14"/>
      <c r="E817" s="14"/>
      <c r="F817" s="14"/>
      <c r="G817" s="14"/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>
      <c r="A818" s="9"/>
      <c r="B818" s="9"/>
      <c r="C818" s="14"/>
      <c r="D818" s="14"/>
      <c r="E818" s="14"/>
      <c r="F818" s="14"/>
      <c r="G818" s="14"/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>
      <c r="A819" s="9"/>
      <c r="B819" s="9"/>
      <c r="C819" s="14"/>
      <c r="D819" s="14"/>
      <c r="E819" s="14"/>
      <c r="F819" s="14"/>
      <c r="G819" s="14"/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>
      <c r="A820" s="9"/>
      <c r="B820" s="9"/>
      <c r="C820" s="14"/>
      <c r="D820" s="14"/>
      <c r="E820" s="14"/>
      <c r="F820" s="14"/>
      <c r="G820" s="14"/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>
      <c r="A821" s="9"/>
      <c r="B821" s="9"/>
      <c r="C821" s="14"/>
      <c r="D821" s="14"/>
      <c r="E821" s="14"/>
      <c r="F821" s="14"/>
      <c r="G821" s="14"/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>
      <c r="A822" s="9"/>
      <c r="B822" s="9"/>
      <c r="C822" s="14"/>
      <c r="D822" s="14"/>
      <c r="E822" s="14"/>
      <c r="F822" s="14"/>
      <c r="G822" s="14"/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>
      <c r="A823" s="9"/>
      <c r="B823" s="9"/>
      <c r="C823" s="14"/>
      <c r="D823" s="14"/>
      <c r="E823" s="14"/>
      <c r="F823" s="14"/>
      <c r="G823" s="14"/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>
      <c r="A824" s="9"/>
      <c r="B824" s="9"/>
      <c r="C824" s="14"/>
      <c r="D824" s="14"/>
      <c r="E824" s="14"/>
      <c r="F824" s="14"/>
      <c r="G824" s="14"/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>
      <c r="A825" s="9"/>
      <c r="B825" s="9"/>
      <c r="C825" s="14"/>
      <c r="D825" s="14"/>
      <c r="E825" s="14"/>
      <c r="F825" s="14"/>
      <c r="G825" s="14"/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>
      <c r="A826" s="9"/>
      <c r="B826" s="9"/>
      <c r="C826" s="14"/>
      <c r="D826" s="14"/>
      <c r="E826" s="14"/>
      <c r="F826" s="14"/>
      <c r="G826" s="14"/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>
      <c r="A827" s="9"/>
      <c r="B827" s="9"/>
      <c r="C827" s="14"/>
      <c r="D827" s="14"/>
      <c r="E827" s="14"/>
      <c r="F827" s="14"/>
      <c r="G827" s="14"/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>
      <c r="A828" s="9"/>
      <c r="B828" s="9"/>
      <c r="C828" s="14"/>
      <c r="D828" s="14"/>
      <c r="E828" s="14"/>
      <c r="F828" s="14"/>
      <c r="G828" s="14"/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>
      <c r="A829" s="9"/>
      <c r="B829" s="9"/>
      <c r="C829" s="14"/>
      <c r="D829" s="14"/>
      <c r="E829" s="14"/>
      <c r="F829" s="14"/>
      <c r="G829" s="14"/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>
      <c r="A830" s="9"/>
      <c r="B830" s="9"/>
      <c r="C830" s="14"/>
      <c r="D830" s="14"/>
      <c r="E830" s="14"/>
      <c r="F830" s="14"/>
      <c r="G830" s="14"/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>
      <c r="A831" s="9"/>
      <c r="B831" s="9"/>
      <c r="C831" s="14"/>
      <c r="D831" s="14"/>
      <c r="E831" s="14"/>
      <c r="F831" s="14"/>
      <c r="G831" s="14"/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>
      <c r="A832" s="9"/>
      <c r="B832" s="9"/>
      <c r="C832" s="14"/>
      <c r="D832" s="14"/>
      <c r="E832" s="14"/>
      <c r="F832" s="14"/>
      <c r="G832" s="14"/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>
      <c r="A833" s="9"/>
      <c r="B833" s="9"/>
      <c r="C833" s="14"/>
      <c r="D833" s="14"/>
      <c r="E833" s="14"/>
      <c r="F833" s="14"/>
      <c r="G833" s="14"/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>
      <c r="A834" s="9"/>
      <c r="B834" s="9"/>
      <c r="C834" s="14"/>
      <c r="D834" s="14"/>
      <c r="E834" s="14"/>
      <c r="F834" s="14"/>
      <c r="G834" s="14"/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>
      <c r="A835" s="9"/>
      <c r="B835" s="9"/>
      <c r="C835" s="14"/>
      <c r="D835" s="14"/>
      <c r="E835" s="14"/>
      <c r="F835" s="14"/>
      <c r="G835" s="14"/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>
      <c r="A836" s="9"/>
      <c r="B836" s="9"/>
      <c r="C836" s="14"/>
      <c r="D836" s="14"/>
      <c r="E836" s="14"/>
      <c r="F836" s="14"/>
      <c r="G836" s="14"/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>
      <c r="A837" s="9"/>
      <c r="B837" s="9"/>
      <c r="C837" s="14"/>
      <c r="D837" s="14"/>
      <c r="E837" s="14"/>
      <c r="F837" s="14"/>
      <c r="G837" s="14"/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>
      <c r="A838" s="9"/>
      <c r="B838" s="9"/>
      <c r="C838" s="14"/>
      <c r="D838" s="14"/>
      <c r="E838" s="14"/>
      <c r="F838" s="14"/>
      <c r="G838" s="14"/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>
      <c r="A839" s="9"/>
      <c r="B839" s="9"/>
      <c r="C839" s="14"/>
      <c r="D839" s="14"/>
      <c r="E839" s="14"/>
      <c r="F839" s="14"/>
      <c r="G839" s="14"/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>
      <c r="A840" s="9"/>
      <c r="B840" s="9"/>
      <c r="C840" s="14"/>
      <c r="D840" s="14"/>
      <c r="E840" s="14"/>
      <c r="F840" s="14"/>
      <c r="G840" s="14"/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>
      <c r="A841" s="9"/>
      <c r="B841" s="9"/>
      <c r="C841" s="14"/>
      <c r="D841" s="14"/>
      <c r="E841" s="14"/>
      <c r="F841" s="14"/>
      <c r="G841" s="14"/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>
      <c r="A842" s="9"/>
      <c r="B842" s="9"/>
      <c r="C842" s="14"/>
      <c r="D842" s="14"/>
      <c r="E842" s="14"/>
      <c r="F842" s="14"/>
      <c r="G842" s="14"/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>
      <c r="A843" s="9"/>
      <c r="B843" s="9"/>
      <c r="C843" s="14"/>
      <c r="D843" s="14"/>
      <c r="E843" s="14"/>
      <c r="F843" s="14"/>
      <c r="G843" s="14"/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>
      <c r="A844" s="9"/>
      <c r="B844" s="9"/>
      <c r="C844" s="14"/>
      <c r="D844" s="14"/>
      <c r="E844" s="14"/>
      <c r="F844" s="14"/>
      <c r="G844" s="14"/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>
      <c r="A845" s="9"/>
      <c r="B845" s="9"/>
      <c r="C845" s="14"/>
      <c r="D845" s="14"/>
      <c r="E845" s="14"/>
      <c r="F845" s="14"/>
      <c r="G845" s="14"/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>
      <c r="A846" s="9"/>
      <c r="B846" s="9"/>
      <c r="C846" s="14"/>
      <c r="D846" s="14"/>
      <c r="E846" s="14"/>
      <c r="F846" s="14"/>
      <c r="G846" s="14"/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>
      <c r="A847" s="9"/>
      <c r="B847" s="9"/>
      <c r="C847" s="14"/>
      <c r="D847" s="14"/>
      <c r="E847" s="14"/>
      <c r="F847" s="14"/>
      <c r="G847" s="14"/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>
      <c r="A848" s="9"/>
      <c r="B848" s="9"/>
      <c r="C848" s="14"/>
      <c r="D848" s="14"/>
      <c r="E848" s="14"/>
      <c r="F848" s="14"/>
      <c r="G848" s="14"/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>
      <c r="A849" s="9"/>
      <c r="B849" s="9"/>
      <c r="C849" s="14"/>
      <c r="D849" s="14"/>
      <c r="E849" s="14"/>
      <c r="F849" s="14"/>
      <c r="G849" s="14"/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>
      <c r="A850" s="9"/>
      <c r="B850" s="9"/>
      <c r="C850" s="14"/>
      <c r="D850" s="14"/>
      <c r="E850" s="14"/>
      <c r="F850" s="14"/>
      <c r="G850" s="14"/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>
      <c r="A851" s="9"/>
      <c r="B851" s="9"/>
      <c r="C851" s="14"/>
      <c r="D851" s="14"/>
      <c r="E851" s="14"/>
      <c r="F851" s="14"/>
      <c r="G851" s="14"/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>
      <c r="A852" s="9"/>
      <c r="B852" s="9"/>
      <c r="C852" s="14"/>
      <c r="D852" s="14"/>
      <c r="E852" s="14"/>
      <c r="F852" s="14"/>
      <c r="G852" s="14"/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>
      <c r="A853" s="9"/>
      <c r="B853" s="9"/>
      <c r="C853" s="14"/>
      <c r="D853" s="14"/>
      <c r="E853" s="14"/>
      <c r="F853" s="14"/>
      <c r="G853" s="14"/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>
      <c r="A854" s="9"/>
      <c r="B854" s="9"/>
      <c r="C854" s="14"/>
      <c r="D854" s="14"/>
      <c r="E854" s="14"/>
      <c r="F854" s="14"/>
      <c r="G854" s="14"/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>
      <c r="A855" s="9"/>
      <c r="B855" s="9"/>
      <c r="C855" s="14"/>
      <c r="D855" s="14"/>
      <c r="E855" s="14"/>
      <c r="F855" s="14"/>
      <c r="G855" s="14"/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>
      <c r="A856" s="9"/>
      <c r="B856" s="9"/>
      <c r="C856" s="14"/>
      <c r="D856" s="14"/>
      <c r="E856" s="14"/>
      <c r="F856" s="14"/>
      <c r="G856" s="14"/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>
      <c r="A857" s="9"/>
      <c r="B857" s="9"/>
      <c r="C857" s="14"/>
      <c r="D857" s="14"/>
      <c r="E857" s="14"/>
      <c r="F857" s="14"/>
      <c r="G857" s="14"/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>
      <c r="A858" s="9"/>
      <c r="B858" s="9"/>
      <c r="C858" s="14"/>
      <c r="D858" s="14"/>
      <c r="E858" s="14"/>
      <c r="F858" s="14"/>
      <c r="G858" s="14"/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>
      <c r="A859" s="9"/>
      <c r="B859" s="9"/>
      <c r="C859" s="14"/>
      <c r="D859" s="14"/>
      <c r="E859" s="14"/>
      <c r="F859" s="14"/>
      <c r="G859" s="14"/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>
      <c r="A860" s="9"/>
      <c r="B860" s="9"/>
      <c r="C860" s="14"/>
      <c r="D860" s="14"/>
      <c r="E860" s="14"/>
      <c r="F860" s="14"/>
      <c r="G860" s="14"/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>
      <c r="A861" s="9"/>
      <c r="B861" s="9"/>
      <c r="C861" s="14"/>
      <c r="D861" s="14"/>
      <c r="E861" s="14"/>
      <c r="F861" s="14"/>
      <c r="G861" s="14"/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>
      <c r="A862" s="9"/>
      <c r="B862" s="9"/>
      <c r="C862" s="14"/>
      <c r="D862" s="14"/>
      <c r="E862" s="14"/>
      <c r="F862" s="14"/>
      <c r="G862" s="14"/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>
      <c r="A863" s="9"/>
      <c r="B863" s="9"/>
      <c r="C863" s="14"/>
      <c r="D863" s="14"/>
      <c r="E863" s="14"/>
      <c r="F863" s="14"/>
      <c r="G863" s="14"/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>
      <c r="A864" s="9"/>
      <c r="B864" s="9"/>
      <c r="C864" s="14"/>
      <c r="D864" s="14"/>
      <c r="E864" s="14"/>
      <c r="F864" s="14"/>
      <c r="G864" s="14"/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>
      <c r="A865" s="9"/>
      <c r="B865" s="9"/>
      <c r="C865" s="14"/>
      <c r="D865" s="14"/>
      <c r="E865" s="14"/>
      <c r="F865" s="14"/>
      <c r="G865" s="14"/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>
      <c r="A866" s="9"/>
      <c r="B866" s="9"/>
      <c r="C866" s="14"/>
      <c r="D866" s="14"/>
      <c r="E866" s="14"/>
      <c r="F866" s="14"/>
      <c r="G866" s="14"/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>
      <c r="A867" s="9"/>
      <c r="B867" s="9"/>
      <c r="C867" s="14"/>
      <c r="D867" s="14"/>
      <c r="E867" s="14"/>
      <c r="F867" s="14"/>
      <c r="G867" s="14"/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>
      <c r="A868" s="9"/>
      <c r="B868" s="9"/>
      <c r="C868" s="14"/>
      <c r="D868" s="14"/>
      <c r="E868" s="14"/>
      <c r="F868" s="14"/>
      <c r="G868" s="14"/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>
      <c r="A869" s="9"/>
      <c r="B869" s="9"/>
      <c r="C869" s="14"/>
      <c r="D869" s="14"/>
      <c r="E869" s="14"/>
      <c r="F869" s="14"/>
      <c r="G869" s="14"/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>
      <c r="A870" s="9"/>
      <c r="B870" s="9"/>
      <c r="C870" s="14"/>
      <c r="D870" s="14"/>
      <c r="E870" s="14"/>
      <c r="F870" s="14"/>
      <c r="G870" s="14"/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>
      <c r="A871" s="9"/>
      <c r="B871" s="9"/>
      <c r="C871" s="14"/>
      <c r="D871" s="14"/>
      <c r="E871" s="14"/>
      <c r="F871" s="14"/>
      <c r="G871" s="14"/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>
      <c r="A872" s="9"/>
      <c r="B872" s="9"/>
      <c r="C872" s="14"/>
      <c r="D872" s="14"/>
      <c r="E872" s="14"/>
      <c r="F872" s="14"/>
      <c r="G872" s="14"/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>
      <c r="A873" s="9"/>
      <c r="B873" s="9"/>
      <c r="C873" s="14"/>
      <c r="D873" s="14"/>
      <c r="E873" s="14"/>
      <c r="F873" s="14"/>
      <c r="G873" s="14"/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>
      <c r="A874" s="9"/>
      <c r="B874" s="9"/>
      <c r="C874" s="14"/>
      <c r="D874" s="14"/>
      <c r="E874" s="14"/>
      <c r="F874" s="14"/>
      <c r="G874" s="14"/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>
      <c r="A875" s="9"/>
      <c r="B875" s="9"/>
      <c r="C875" s="14"/>
      <c r="D875" s="14"/>
      <c r="E875" s="14"/>
      <c r="F875" s="14"/>
      <c r="G875" s="14"/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>
      <c r="A876" s="9"/>
      <c r="B876" s="9"/>
      <c r="C876" s="14"/>
      <c r="D876" s="14"/>
      <c r="E876" s="14"/>
      <c r="F876" s="14"/>
      <c r="G876" s="14"/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>
      <c r="A877" s="9"/>
      <c r="B877" s="9"/>
      <c r="C877" s="14"/>
      <c r="D877" s="14"/>
      <c r="E877" s="14"/>
      <c r="F877" s="14"/>
      <c r="G877" s="14"/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>
      <c r="A878" s="9"/>
      <c r="B878" s="9"/>
      <c r="C878" s="14"/>
      <c r="D878" s="14"/>
      <c r="E878" s="14"/>
      <c r="F878" s="14"/>
      <c r="G878" s="14"/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>
      <c r="A879" s="9"/>
      <c r="B879" s="9"/>
      <c r="C879" s="14"/>
      <c r="D879" s="14"/>
      <c r="E879" s="14"/>
      <c r="F879" s="14"/>
      <c r="G879" s="14"/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>
      <c r="A880" s="9"/>
      <c r="B880" s="9"/>
      <c r="C880" s="14"/>
      <c r="D880" s="14"/>
      <c r="E880" s="14"/>
      <c r="F880" s="14"/>
      <c r="G880" s="14"/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>
      <c r="A881" s="9"/>
      <c r="B881" s="9"/>
      <c r="C881" s="14"/>
      <c r="D881" s="14"/>
      <c r="E881" s="14"/>
      <c r="F881" s="14"/>
      <c r="G881" s="14"/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>
      <c r="A882" s="9"/>
      <c r="B882" s="9"/>
      <c r="C882" s="14"/>
      <c r="D882" s="14"/>
      <c r="E882" s="14"/>
      <c r="F882" s="14"/>
      <c r="G882" s="14"/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>
      <c r="A883" s="9"/>
      <c r="B883" s="9"/>
      <c r="C883" s="14"/>
      <c r="D883" s="14"/>
      <c r="E883" s="14"/>
      <c r="F883" s="14"/>
      <c r="G883" s="14"/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>
      <c r="A884" s="9"/>
      <c r="B884" s="9"/>
      <c r="C884" s="14"/>
      <c r="D884" s="14"/>
      <c r="E884" s="14"/>
      <c r="F884" s="14"/>
      <c r="G884" s="14"/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>
      <c r="A885" s="9"/>
      <c r="B885" s="9"/>
      <c r="C885" s="14"/>
      <c r="D885" s="14"/>
      <c r="E885" s="14"/>
      <c r="F885" s="14"/>
      <c r="G885" s="14"/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>
      <c r="A886" s="9"/>
      <c r="B886" s="9"/>
      <c r="C886" s="14"/>
      <c r="D886" s="14"/>
      <c r="E886" s="14"/>
      <c r="F886" s="14"/>
      <c r="G886" s="14"/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>
      <c r="A887" s="9"/>
      <c r="B887" s="9"/>
      <c r="C887" s="14"/>
      <c r="D887" s="14"/>
      <c r="E887" s="14"/>
      <c r="F887" s="14"/>
      <c r="G887" s="14"/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>
      <c r="A888" s="9"/>
      <c r="B888" s="9"/>
      <c r="C888" s="14"/>
      <c r="D888" s="14"/>
      <c r="E888" s="14"/>
      <c r="F888" s="14"/>
      <c r="G888" s="14"/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>
      <c r="A889" s="9"/>
      <c r="B889" s="9"/>
      <c r="C889" s="14"/>
      <c r="D889" s="14"/>
      <c r="E889" s="14"/>
      <c r="F889" s="14"/>
      <c r="G889" s="14"/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>
      <c r="A890" s="9"/>
      <c r="B890" s="9"/>
      <c r="C890" s="14"/>
      <c r="D890" s="14"/>
      <c r="E890" s="14"/>
      <c r="F890" s="14"/>
      <c r="G890" s="14"/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>
      <c r="A891" s="9"/>
      <c r="B891" s="9"/>
      <c r="C891" s="14"/>
      <c r="D891" s="14"/>
      <c r="E891" s="14"/>
      <c r="F891" s="14"/>
      <c r="G891" s="14"/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>
      <c r="A892" s="9"/>
      <c r="B892" s="9"/>
      <c r="C892" s="14"/>
      <c r="D892" s="14"/>
      <c r="E892" s="14"/>
      <c r="F892" s="14"/>
      <c r="G892" s="14"/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>
      <c r="A893" s="9"/>
      <c r="B893" s="9"/>
      <c r="C893" s="14"/>
      <c r="D893" s="14"/>
      <c r="E893" s="14"/>
      <c r="F893" s="14"/>
      <c r="G893" s="14"/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>
      <c r="A894" s="9"/>
      <c r="B894" s="9"/>
      <c r="C894" s="14"/>
      <c r="D894" s="14"/>
      <c r="E894" s="14"/>
      <c r="F894" s="14"/>
      <c r="G894" s="14"/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>
      <c r="A895" s="9"/>
      <c r="B895" s="9"/>
      <c r="C895" s="14"/>
      <c r="D895" s="14"/>
      <c r="E895" s="14"/>
      <c r="F895" s="14"/>
      <c r="G895" s="14"/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>
      <c r="A896" s="9"/>
      <c r="B896" s="9"/>
      <c r="C896" s="14"/>
      <c r="D896" s="14"/>
      <c r="E896" s="14"/>
      <c r="F896" s="14"/>
      <c r="G896" s="14"/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>
      <c r="A897" s="9"/>
      <c r="B897" s="9"/>
      <c r="C897" s="14"/>
      <c r="D897" s="14"/>
      <c r="E897" s="14"/>
      <c r="F897" s="14"/>
      <c r="G897" s="14"/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>
      <c r="A898" s="9"/>
      <c r="B898" s="9"/>
      <c r="C898" s="14"/>
      <c r="D898" s="14"/>
      <c r="E898" s="14"/>
      <c r="F898" s="14"/>
      <c r="G898" s="14"/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>
      <c r="A899" s="9"/>
      <c r="B899" s="9"/>
      <c r="C899" s="14"/>
      <c r="D899" s="14"/>
      <c r="E899" s="14"/>
      <c r="F899" s="14"/>
      <c r="G899" s="14"/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>
      <c r="A900" s="9"/>
      <c r="B900" s="9"/>
      <c r="C900" s="14"/>
      <c r="D900" s="14"/>
      <c r="E900" s="14"/>
      <c r="F900" s="14"/>
      <c r="G900" s="14"/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>
      <c r="A901" s="9"/>
      <c r="B901" s="9"/>
      <c r="C901" s="14"/>
      <c r="D901" s="14"/>
      <c r="E901" s="14"/>
      <c r="F901" s="14"/>
      <c r="G901" s="14"/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>
      <c r="A902" s="9"/>
      <c r="B902" s="9"/>
      <c r="C902" s="14"/>
      <c r="D902" s="14"/>
      <c r="E902" s="14"/>
      <c r="F902" s="14"/>
      <c r="G902" s="14"/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>
      <c r="A903" s="9"/>
      <c r="B903" s="9"/>
      <c r="C903" s="14"/>
      <c r="D903" s="14"/>
      <c r="E903" s="14"/>
      <c r="F903" s="14"/>
      <c r="G903" s="14"/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>
      <c r="A904" s="9"/>
      <c r="B904" s="9"/>
      <c r="C904" s="14"/>
      <c r="D904" s="14"/>
      <c r="E904" s="14"/>
      <c r="F904" s="14"/>
      <c r="G904" s="14"/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>
      <c r="A905" s="9"/>
      <c r="B905" s="9"/>
      <c r="C905" s="14"/>
      <c r="D905" s="14"/>
      <c r="E905" s="14"/>
      <c r="F905" s="14"/>
      <c r="G905" s="14"/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>
      <c r="A906" s="9"/>
      <c r="B906" s="9"/>
      <c r="C906" s="14"/>
      <c r="D906" s="14"/>
      <c r="E906" s="14"/>
      <c r="F906" s="14"/>
      <c r="G906" s="14"/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>
      <c r="A907" s="9"/>
      <c r="B907" s="9"/>
      <c r="C907" s="14"/>
      <c r="D907" s="14"/>
      <c r="E907" s="14"/>
      <c r="F907" s="14"/>
      <c r="G907" s="14"/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>
      <c r="A908" s="9"/>
      <c r="B908" s="9"/>
      <c r="C908" s="14"/>
      <c r="D908" s="14"/>
      <c r="E908" s="14"/>
      <c r="F908" s="14"/>
      <c r="G908" s="14"/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>
      <c r="A909" s="9"/>
      <c r="B909" s="9"/>
      <c r="C909" s="14"/>
      <c r="D909" s="14"/>
      <c r="E909" s="14"/>
      <c r="F909" s="14"/>
      <c r="G909" s="14"/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>
      <c r="A910" s="9"/>
      <c r="B910" s="9"/>
      <c r="C910" s="14"/>
      <c r="D910" s="14"/>
      <c r="E910" s="14"/>
      <c r="F910" s="14"/>
      <c r="G910" s="14"/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>
      <c r="A911" s="9"/>
      <c r="B911" s="9"/>
      <c r="C911" s="14"/>
      <c r="D911" s="14"/>
      <c r="E911" s="14"/>
      <c r="F911" s="14"/>
      <c r="G911" s="14"/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>
      <c r="A912" s="9"/>
      <c r="B912" s="9"/>
      <c r="C912" s="14"/>
      <c r="D912" s="14"/>
      <c r="E912" s="14"/>
      <c r="F912" s="14"/>
      <c r="G912" s="14"/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>
      <c r="A913" s="9"/>
      <c r="B913" s="9"/>
      <c r="C913" s="14"/>
      <c r="D913" s="14"/>
      <c r="E913" s="14"/>
      <c r="F913" s="14"/>
      <c r="G913" s="14"/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>
      <c r="A914" s="9"/>
      <c r="B914" s="9"/>
      <c r="C914" s="14"/>
      <c r="D914" s="14"/>
      <c r="E914" s="14"/>
      <c r="F914" s="14"/>
      <c r="G914" s="14"/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>
      <c r="A915" s="9"/>
      <c r="B915" s="9"/>
      <c r="C915" s="14"/>
      <c r="D915" s="14"/>
      <c r="E915" s="14"/>
      <c r="F915" s="14"/>
      <c r="G915" s="14"/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>
      <c r="A916" s="9"/>
      <c r="B916" s="9"/>
      <c r="C916" s="14"/>
      <c r="D916" s="14"/>
      <c r="E916" s="14"/>
      <c r="F916" s="14"/>
      <c r="G916" s="14"/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>
      <c r="A917" s="9"/>
      <c r="B917" s="9"/>
      <c r="C917" s="14"/>
      <c r="D917" s="14"/>
      <c r="E917" s="14"/>
      <c r="F917" s="14"/>
      <c r="G917" s="14"/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>
      <c r="A918" s="9"/>
      <c r="B918" s="9"/>
      <c r="C918" s="14"/>
      <c r="D918" s="14"/>
      <c r="E918" s="14"/>
      <c r="F918" s="14"/>
      <c r="G918" s="14"/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>
      <c r="A919" s="9"/>
      <c r="B919" s="9"/>
      <c r="C919" s="14"/>
      <c r="D919" s="14"/>
      <c r="E919" s="14"/>
      <c r="F919" s="14"/>
      <c r="G919" s="14"/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>
      <c r="A920" s="9"/>
      <c r="B920" s="9"/>
      <c r="C920" s="14"/>
      <c r="D920" s="14"/>
      <c r="E920" s="14"/>
      <c r="F920" s="14"/>
      <c r="G920" s="14"/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>
      <c r="A921" s="9"/>
      <c r="B921" s="9"/>
      <c r="C921" s="14"/>
      <c r="D921" s="14"/>
      <c r="E921" s="14"/>
      <c r="F921" s="14"/>
      <c r="G921" s="14"/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>
      <c r="A922" s="9"/>
      <c r="B922" s="9"/>
      <c r="C922" s="14"/>
      <c r="D922" s="14"/>
      <c r="E922" s="14"/>
      <c r="F922" s="14"/>
      <c r="G922" s="14"/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>
      <c r="A923" s="9"/>
      <c r="B923" s="9"/>
      <c r="C923" s="14"/>
      <c r="D923" s="14"/>
      <c r="E923" s="14"/>
      <c r="F923" s="14"/>
      <c r="G923" s="14"/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>
      <c r="A924" s="9"/>
      <c r="B924" s="9"/>
      <c r="C924" s="14"/>
      <c r="D924" s="14"/>
      <c r="E924" s="14"/>
      <c r="F924" s="14"/>
      <c r="G924" s="14"/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>
      <c r="A925" s="9"/>
      <c r="B925" s="9"/>
      <c r="C925" s="14"/>
      <c r="D925" s="14"/>
      <c r="E925" s="14"/>
      <c r="F925" s="14"/>
      <c r="G925" s="14"/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>
      <c r="A926" s="9"/>
      <c r="B926" s="9"/>
      <c r="C926" s="14"/>
      <c r="D926" s="14"/>
      <c r="E926" s="14"/>
      <c r="F926" s="14"/>
      <c r="G926" s="14"/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>
      <c r="A927" s="9"/>
      <c r="B927" s="9"/>
      <c r="C927" s="14"/>
      <c r="D927" s="14"/>
      <c r="E927" s="14"/>
      <c r="F927" s="14"/>
      <c r="G927" s="14"/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>
      <c r="A928" s="9"/>
      <c r="B928" s="9"/>
      <c r="C928" s="14"/>
      <c r="D928" s="14"/>
      <c r="E928" s="14"/>
      <c r="F928" s="14"/>
      <c r="G928" s="14"/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>
      <c r="A929" s="9"/>
      <c r="B929" s="9"/>
      <c r="C929" s="14"/>
      <c r="D929" s="14"/>
      <c r="E929" s="14"/>
      <c r="F929" s="14"/>
      <c r="G929" s="14"/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>
      <c r="A930" s="9"/>
      <c r="B930" s="9"/>
      <c r="C930" s="14"/>
      <c r="D930" s="14"/>
      <c r="E930" s="14"/>
      <c r="F930" s="14"/>
      <c r="G930" s="14"/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>
      <c r="A931" s="9"/>
      <c r="B931" s="9"/>
      <c r="C931" s="14"/>
      <c r="D931" s="14"/>
      <c r="E931" s="14"/>
      <c r="F931" s="14"/>
      <c r="G931" s="14"/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>
      <c r="A932" s="9"/>
      <c r="B932" s="9"/>
      <c r="C932" s="14"/>
      <c r="D932" s="14"/>
      <c r="E932" s="14"/>
      <c r="F932" s="14"/>
      <c r="G932" s="14"/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>
      <c r="A933" s="9"/>
      <c r="B933" s="9"/>
      <c r="C933" s="14"/>
      <c r="D933" s="14"/>
      <c r="E933" s="14"/>
      <c r="F933" s="14"/>
      <c r="G933" s="14"/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>
      <c r="A934" s="9"/>
      <c r="B934" s="9"/>
      <c r="C934" s="14"/>
      <c r="D934" s="14"/>
      <c r="E934" s="14"/>
      <c r="F934" s="14"/>
      <c r="G934" s="14"/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>
      <c r="A935" s="9"/>
      <c r="B935" s="9"/>
      <c r="C935" s="14"/>
      <c r="D935" s="14"/>
      <c r="E935" s="14"/>
      <c r="F935" s="14"/>
      <c r="G935" s="14"/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>
      <c r="A936" s="9"/>
      <c r="B936" s="9"/>
      <c r="C936" s="14"/>
      <c r="D936" s="14"/>
      <c r="E936" s="14"/>
      <c r="F936" s="14"/>
      <c r="G936" s="14"/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>
      <c r="A937" s="9"/>
      <c r="B937" s="9"/>
      <c r="C937" s="14"/>
      <c r="D937" s="14"/>
      <c r="E937" s="14"/>
      <c r="F937" s="14"/>
      <c r="G937" s="14"/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>
      <c r="A938" s="9"/>
      <c r="B938" s="9"/>
      <c r="C938" s="14"/>
      <c r="D938" s="14"/>
      <c r="E938" s="14"/>
      <c r="F938" s="14"/>
      <c r="G938" s="14"/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>
      <c r="A939" s="9"/>
      <c r="B939" s="9"/>
      <c r="C939" s="14"/>
      <c r="D939" s="14"/>
      <c r="E939" s="14"/>
      <c r="F939" s="14"/>
      <c r="G939" s="14"/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>
      <c r="A940" s="9"/>
      <c r="B940" s="9"/>
      <c r="C940" s="14"/>
      <c r="D940" s="14"/>
      <c r="E940" s="14"/>
      <c r="F940" s="14"/>
      <c r="G940" s="14"/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>
      <c r="A941" s="9"/>
      <c r="B941" s="9"/>
      <c r="C941" s="14"/>
      <c r="D941" s="14"/>
      <c r="E941" s="14"/>
      <c r="F941" s="14"/>
      <c r="G941" s="14"/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>
      <c r="A942" s="9"/>
      <c r="B942" s="9"/>
      <c r="C942" s="14"/>
      <c r="D942" s="14"/>
      <c r="E942" s="14"/>
      <c r="F942" s="14"/>
      <c r="G942" s="14"/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>
      <c r="A943" s="9"/>
      <c r="B943" s="9"/>
      <c r="C943" s="14"/>
      <c r="D943" s="14"/>
      <c r="E943" s="14"/>
      <c r="F943" s="14"/>
      <c r="G943" s="14"/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>
      <c r="A944" s="9"/>
      <c r="B944" s="9"/>
      <c r="C944" s="14"/>
      <c r="D944" s="14"/>
      <c r="E944" s="14"/>
      <c r="F944" s="14"/>
      <c r="G944" s="14"/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>
      <c r="A945" s="9"/>
      <c r="B945" s="9"/>
      <c r="C945" s="14"/>
      <c r="D945" s="14"/>
      <c r="E945" s="14"/>
      <c r="F945" s="14"/>
      <c r="G945" s="14"/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>
      <c r="A946" s="9"/>
      <c r="B946" s="9"/>
      <c r="C946" s="14"/>
      <c r="D946" s="14"/>
      <c r="E946" s="14"/>
      <c r="F946" s="14"/>
      <c r="G946" s="14"/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>
      <c r="A947" s="9"/>
      <c r="B947" s="9"/>
      <c r="C947" s="14"/>
      <c r="D947" s="14"/>
      <c r="E947" s="14"/>
      <c r="F947" s="14"/>
      <c r="G947" s="14"/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>
      <c r="A948" s="9"/>
      <c r="B948" s="9"/>
      <c r="C948" s="14"/>
      <c r="D948" s="14"/>
      <c r="E948" s="14"/>
      <c r="F948" s="14"/>
      <c r="G948" s="14"/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>
      <c r="A949" s="9"/>
      <c r="B949" s="9"/>
      <c r="C949" s="14"/>
      <c r="D949" s="14"/>
      <c r="E949" s="14"/>
      <c r="F949" s="14"/>
      <c r="G949" s="14"/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>
      <c r="A950" s="9"/>
      <c r="B950" s="9"/>
      <c r="C950" s="14"/>
      <c r="D950" s="14"/>
      <c r="E950" s="14"/>
      <c r="F950" s="14"/>
      <c r="G950" s="14"/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>
      <c r="A951" s="9"/>
      <c r="B951" s="9"/>
      <c r="C951" s="14"/>
      <c r="D951" s="14"/>
      <c r="E951" s="14"/>
      <c r="F951" s="14"/>
      <c r="G951" s="14"/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>
      <c r="A952" s="9"/>
      <c r="B952" s="9"/>
      <c r="C952" s="14"/>
      <c r="D952" s="14"/>
      <c r="E952" s="14"/>
      <c r="F952" s="14"/>
      <c r="G952" s="14"/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>
      <c r="A953" s="9"/>
      <c r="B953" s="9"/>
      <c r="C953" s="14"/>
      <c r="D953" s="14"/>
      <c r="E953" s="14"/>
      <c r="F953" s="14"/>
      <c r="G953" s="14"/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>
      <c r="A954" s="9"/>
      <c r="B954" s="9"/>
      <c r="C954" s="14"/>
      <c r="D954" s="14"/>
      <c r="E954" s="14"/>
      <c r="F954" s="14"/>
      <c r="G954" s="14"/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>
      <c r="A955" s="9"/>
      <c r="B955" s="9"/>
      <c r="C955" s="14"/>
      <c r="D955" s="14"/>
      <c r="E955" s="14"/>
      <c r="F955" s="14"/>
      <c r="G955" s="14"/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>
      <c r="A956" s="9"/>
      <c r="B956" s="9"/>
      <c r="C956" s="14"/>
      <c r="D956" s="14"/>
      <c r="E956" s="14"/>
      <c r="F956" s="14"/>
      <c r="G956" s="14"/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>
      <c r="A957" s="9"/>
      <c r="B957" s="9"/>
      <c r="C957" s="14"/>
      <c r="D957" s="14"/>
      <c r="E957" s="14"/>
      <c r="F957" s="14"/>
      <c r="G957" s="14"/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>
      <c r="A958" s="9"/>
      <c r="B958" s="9"/>
      <c r="C958" s="14"/>
      <c r="D958" s="14"/>
      <c r="E958" s="14"/>
      <c r="F958" s="14"/>
      <c r="G958" s="14"/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>
      <c r="A959" s="9"/>
      <c r="B959" s="9"/>
      <c r="C959" s="14"/>
      <c r="D959" s="14"/>
      <c r="E959" s="14"/>
      <c r="F959" s="14"/>
      <c r="G959" s="14"/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>
      <c r="A960" s="9"/>
      <c r="B960" s="9"/>
      <c r="C960" s="14"/>
      <c r="D960" s="14"/>
      <c r="E960" s="14"/>
      <c r="F960" s="14"/>
      <c r="G960" s="14"/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>
      <c r="A961" s="9"/>
      <c r="B961" s="9"/>
      <c r="C961" s="14"/>
      <c r="D961" s="14"/>
      <c r="E961" s="14"/>
      <c r="F961" s="14"/>
      <c r="G961" s="14"/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>
      <c r="A962" s="9"/>
      <c r="B962" s="9"/>
      <c r="C962" s="14"/>
      <c r="D962" s="14"/>
      <c r="E962" s="14"/>
      <c r="F962" s="14"/>
      <c r="G962" s="14"/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>
      <c r="A963" s="9"/>
      <c r="B963" s="9"/>
      <c r="C963" s="14"/>
      <c r="D963" s="14"/>
      <c r="E963" s="14"/>
      <c r="F963" s="14"/>
      <c r="G963" s="14"/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>
      <c r="A964" s="9"/>
      <c r="B964" s="9"/>
      <c r="C964" s="14"/>
      <c r="D964" s="14"/>
      <c r="E964" s="14"/>
      <c r="F964" s="14"/>
      <c r="G964" s="14"/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>
      <c r="A965" s="9"/>
      <c r="B965" s="9"/>
      <c r="C965" s="14"/>
      <c r="D965" s="14"/>
      <c r="E965" s="14"/>
      <c r="F965" s="14"/>
      <c r="G965" s="14"/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>
      <c r="A966" s="9"/>
      <c r="B966" s="9"/>
      <c r="C966" s="14"/>
      <c r="D966" s="14"/>
      <c r="E966" s="14"/>
      <c r="F966" s="14"/>
      <c r="G966" s="14"/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>
      <c r="A967" s="9"/>
      <c r="B967" s="9"/>
      <c r="C967" s="14"/>
      <c r="D967" s="14"/>
      <c r="E967" s="14"/>
      <c r="F967" s="14"/>
      <c r="G967" s="14"/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>
      <c r="A968" s="9"/>
      <c r="B968" s="9"/>
      <c r="C968" s="14"/>
      <c r="D968" s="14"/>
      <c r="E968" s="14"/>
      <c r="F968" s="14"/>
      <c r="G968" s="14"/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>
      <c r="A969" s="9"/>
      <c r="B969" s="9"/>
      <c r="C969" s="14"/>
      <c r="D969" s="14"/>
      <c r="E969" s="14"/>
      <c r="F969" s="14"/>
      <c r="G969" s="14"/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>
      <c r="A970" s="9"/>
      <c r="B970" s="9"/>
      <c r="C970" s="14"/>
      <c r="D970" s="14"/>
      <c r="E970" s="14"/>
      <c r="F970" s="14"/>
      <c r="G970" s="14"/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>
      <c r="A971" s="9"/>
      <c r="B971" s="9"/>
      <c r="C971" s="14"/>
      <c r="D971" s="14"/>
      <c r="E971" s="14"/>
      <c r="F971" s="14"/>
      <c r="G971" s="14"/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>
      <c r="A972" s="9"/>
      <c r="B972" s="9"/>
      <c r="C972" s="14"/>
      <c r="D972" s="14"/>
      <c r="E972" s="14"/>
      <c r="F972" s="14"/>
      <c r="G972" s="14"/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>
      <c r="A973" s="9"/>
      <c r="B973" s="9"/>
      <c r="C973" s="14"/>
      <c r="D973" s="14"/>
      <c r="E973" s="14"/>
      <c r="F973" s="14"/>
      <c r="G973" s="14"/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>
      <c r="A974" s="9"/>
      <c r="B974" s="9"/>
      <c r="C974" s="14"/>
      <c r="D974" s="14"/>
      <c r="E974" s="14"/>
      <c r="F974" s="14"/>
      <c r="G974" s="14"/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>
      <c r="A975" s="9"/>
      <c r="B975" s="9"/>
      <c r="C975" s="14"/>
      <c r="D975" s="14"/>
      <c r="E975" s="14"/>
      <c r="F975" s="14"/>
      <c r="G975" s="14"/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>
      <c r="A976" s="9"/>
      <c r="B976" s="9"/>
      <c r="C976" s="14"/>
      <c r="D976" s="14"/>
      <c r="E976" s="14"/>
      <c r="F976" s="14"/>
      <c r="G976" s="14"/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>
      <c r="A977" s="9"/>
      <c r="B977" s="9"/>
      <c r="C977" s="14"/>
      <c r="D977" s="14"/>
      <c r="E977" s="14"/>
      <c r="F977" s="14"/>
      <c r="G977" s="14"/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>
      <c r="A978" s="9"/>
      <c r="B978" s="9"/>
      <c r="C978" s="14"/>
      <c r="D978" s="14"/>
      <c r="E978" s="14"/>
      <c r="F978" s="14"/>
      <c r="G978" s="14"/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>
      <c r="A979" s="9"/>
      <c r="B979" s="9"/>
      <c r="C979" s="14"/>
      <c r="D979" s="14"/>
      <c r="E979" s="14"/>
      <c r="F979" s="14"/>
      <c r="G979" s="14"/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>
      <c r="A980" s="9"/>
      <c r="B980" s="9"/>
      <c r="C980" s="14"/>
      <c r="D980" s="14"/>
      <c r="E980" s="14"/>
      <c r="F980" s="14"/>
      <c r="G980" s="14"/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>
      <c r="A981" s="9"/>
      <c r="B981" s="9"/>
      <c r="C981" s="14"/>
      <c r="D981" s="14"/>
      <c r="E981" s="14"/>
      <c r="F981" s="14"/>
      <c r="G981" s="14"/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>
      <c r="A982" s="9"/>
      <c r="B982" s="9"/>
      <c r="C982" s="14"/>
      <c r="D982" s="14"/>
      <c r="E982" s="14"/>
      <c r="F982" s="14"/>
      <c r="G982" s="14"/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>
      <c r="A983" s="9"/>
      <c r="B983" s="9"/>
      <c r="C983" s="14"/>
      <c r="D983" s="14"/>
      <c r="E983" s="14"/>
      <c r="F983" s="14"/>
      <c r="G983" s="14"/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>
      <c r="A984" s="9"/>
      <c r="B984" s="9"/>
      <c r="C984" s="14"/>
      <c r="D984" s="14"/>
      <c r="E984" s="14"/>
      <c r="F984" s="14"/>
      <c r="G984" s="14"/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>
      <c r="A985" s="9"/>
      <c r="B985" s="9"/>
      <c r="C985" s="14"/>
      <c r="D985" s="14"/>
      <c r="E985" s="14"/>
      <c r="F985" s="14"/>
      <c r="G985" s="14"/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>
      <c r="A986" s="9"/>
      <c r="B986" s="9"/>
      <c r="C986" s="14"/>
      <c r="D986" s="14"/>
      <c r="E986" s="14"/>
      <c r="F986" s="14"/>
      <c r="G986" s="14"/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>
      <c r="A987" s="9"/>
      <c r="B987" s="9"/>
      <c r="C987" s="14"/>
      <c r="D987" s="14"/>
      <c r="E987" s="14"/>
      <c r="F987" s="14"/>
      <c r="G987" s="14"/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>
      <c r="A988" s="9"/>
      <c r="B988" s="9"/>
      <c r="C988" s="14"/>
      <c r="D988" s="14"/>
      <c r="E988" s="14"/>
      <c r="F988" s="14"/>
      <c r="G988" s="14"/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>
      <c r="A989" s="9"/>
      <c r="B989" s="9"/>
      <c r="C989" s="14"/>
      <c r="D989" s="14"/>
      <c r="E989" s="14"/>
      <c r="F989" s="14"/>
      <c r="G989" s="14"/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>
      <c r="A990" s="9"/>
      <c r="B990" s="9"/>
      <c r="C990" s="14"/>
      <c r="D990" s="14"/>
      <c r="E990" s="14"/>
      <c r="F990" s="14"/>
      <c r="G990" s="14"/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>
      <c r="A991" s="9"/>
      <c r="B991" s="9"/>
      <c r="C991" s="14"/>
      <c r="D991" s="14"/>
      <c r="E991" s="14"/>
      <c r="F991" s="14"/>
      <c r="G991" s="14"/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>
      <c r="A992" s="9"/>
      <c r="B992" s="9"/>
      <c r="C992" s="14"/>
      <c r="D992" s="14"/>
      <c r="E992" s="14"/>
      <c r="F992" s="14"/>
      <c r="G992" s="14"/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>
      <c r="A993" s="9"/>
      <c r="B993" s="9"/>
      <c r="C993" s="14"/>
      <c r="D993" s="14"/>
      <c r="E993" s="14"/>
      <c r="F993" s="14"/>
      <c r="G993" s="14"/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>
      <c r="A994" s="9"/>
      <c r="B994" s="9"/>
      <c r="C994" s="14"/>
      <c r="D994" s="14"/>
      <c r="E994" s="14"/>
      <c r="F994" s="14"/>
      <c r="G994" s="14"/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>
      <c r="A995" s="9"/>
      <c r="B995" s="9"/>
      <c r="C995" s="14"/>
      <c r="D995" s="14"/>
      <c r="E995" s="14"/>
      <c r="F995" s="14"/>
      <c r="G995" s="14"/>
      <c r="H995" s="1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>
      <c r="A996" s="9"/>
      <c r="B996" s="9"/>
      <c r="C996" s="14"/>
      <c r="D996" s="14"/>
      <c r="E996" s="14"/>
      <c r="F996" s="14"/>
      <c r="G996" s="14"/>
      <c r="H996" s="15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>
      <c r="A997" s="9"/>
      <c r="B997" s="9"/>
      <c r="C997" s="14"/>
      <c r="D997" s="14"/>
      <c r="E997" s="14"/>
      <c r="F997" s="14"/>
      <c r="G997" s="14"/>
      <c r="H997" s="15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>
      <c r="A998" s="9"/>
      <c r="B998" s="9"/>
      <c r="C998" s="14"/>
      <c r="D998" s="14"/>
      <c r="E998" s="14"/>
      <c r="F998" s="14"/>
      <c r="G998" s="14"/>
      <c r="H998" s="15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>
      <c r="A999" s="9"/>
      <c r="B999" s="9"/>
      <c r="C999" s="14"/>
      <c r="D999" s="14"/>
      <c r="E999" s="14"/>
      <c r="F999" s="14"/>
      <c r="G999" s="14"/>
      <c r="H999" s="15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>
      <c r="A1000" s="9"/>
      <c r="B1000" s="9"/>
      <c r="C1000" s="14"/>
      <c r="D1000" s="14"/>
      <c r="E1000" s="14"/>
      <c r="F1000" s="14"/>
      <c r="G1000" s="14"/>
      <c r="H1000" s="15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  <row r="1001">
      <c r="A1001" s="9"/>
      <c r="B1001" s="9"/>
      <c r="C1001" s="14"/>
      <c r="D1001" s="14"/>
      <c r="E1001" s="14"/>
      <c r="F1001" s="14"/>
      <c r="G1001" s="14"/>
      <c r="H1001" s="15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</row>
    <row r="1002">
      <c r="A1002" s="9"/>
      <c r="B1002" s="9"/>
      <c r="C1002" s="14"/>
      <c r="D1002" s="14"/>
      <c r="E1002" s="14"/>
      <c r="F1002" s="14"/>
      <c r="G1002" s="14"/>
      <c r="H1002" s="15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</row>
    <row r="1003">
      <c r="A1003" s="9"/>
      <c r="B1003" s="9"/>
      <c r="C1003" s="14"/>
      <c r="D1003" s="14"/>
      <c r="E1003" s="14"/>
      <c r="F1003" s="14"/>
      <c r="G1003" s="14"/>
      <c r="H1003" s="15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</row>
    <row r="1004">
      <c r="A1004" s="9"/>
      <c r="B1004" s="9"/>
      <c r="C1004" s="14"/>
      <c r="D1004" s="14"/>
      <c r="E1004" s="14"/>
      <c r="F1004" s="14"/>
      <c r="G1004" s="14"/>
      <c r="H1004" s="15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</row>
    <row r="1005">
      <c r="A1005" s="9"/>
      <c r="B1005" s="9"/>
      <c r="C1005" s="14"/>
      <c r="D1005" s="14"/>
      <c r="E1005" s="14"/>
      <c r="F1005" s="14"/>
      <c r="G1005" s="14"/>
      <c r="H1005" s="15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</row>
    <row r="1006">
      <c r="A1006" s="9"/>
      <c r="B1006" s="9"/>
      <c r="C1006" s="14"/>
      <c r="D1006" s="14"/>
      <c r="E1006" s="14"/>
      <c r="F1006" s="14"/>
      <c r="G1006" s="14"/>
      <c r="H1006" s="15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</row>
    <row r="1007">
      <c r="A1007" s="9"/>
      <c r="B1007" s="9"/>
      <c r="C1007" s="14"/>
      <c r="D1007" s="14"/>
      <c r="E1007" s="14"/>
      <c r="F1007" s="14"/>
      <c r="G1007" s="14"/>
      <c r="H1007" s="15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</row>
    <row r="1008">
      <c r="A1008" s="9"/>
      <c r="B1008" s="9"/>
      <c r="C1008" s="14"/>
      <c r="D1008" s="14"/>
      <c r="E1008" s="14"/>
      <c r="F1008" s="14"/>
      <c r="G1008" s="14"/>
      <c r="H1008" s="15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</row>
    <row r="1009">
      <c r="A1009" s="9"/>
      <c r="B1009" s="9"/>
      <c r="C1009" s="14"/>
      <c r="D1009" s="14"/>
      <c r="E1009" s="14"/>
      <c r="F1009" s="14"/>
      <c r="G1009" s="14"/>
      <c r="H1009" s="15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</row>
    <row r="1010">
      <c r="A1010" s="9"/>
      <c r="B1010" s="9"/>
      <c r="C1010" s="14"/>
      <c r="D1010" s="14"/>
      <c r="E1010" s="14"/>
      <c r="F1010" s="14"/>
      <c r="G1010" s="14"/>
      <c r="H1010" s="15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</row>
    <row r="1011">
      <c r="I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</row>
  </sheetData>
  <mergeCells count="2">
    <mergeCell ref="A64:B64"/>
    <mergeCell ref="J64:K64"/>
  </mergeCells>
  <conditionalFormatting sqref="H1:H1011 T1:U65">
    <cfRule type="cellIs" dxfId="0" priority="1" operator="lessThan">
      <formula>0</formula>
    </cfRule>
  </conditionalFormatting>
  <conditionalFormatting sqref="H1:H1011 T1:U65">
    <cfRule type="cellIs" dxfId="1" priority="2" operator="greaterThan">
      <formula>0</formula>
    </cfRule>
  </conditionalFormatting>
  <conditionalFormatting sqref="C2:G65 L2:S65">
    <cfRule type="cellIs" dxfId="2" priority="3" operator="greaterThan">
      <formula>0.08</formula>
    </cfRule>
  </conditionalFormatting>
  <conditionalFormatting sqref="C2:G65 L2:S65">
    <cfRule type="cellIs" dxfId="3" priority="4" operator="greaterThanOrEqual">
      <formula>0.07</formula>
    </cfRule>
  </conditionalFormatting>
  <conditionalFormatting sqref="C2:G65 L2:S65">
    <cfRule type="cellIs" dxfId="4" priority="5" operator="lessThan">
      <formula>0.07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48.5"/>
    <col customWidth="1" min="3" max="4" width="10.25"/>
    <col customWidth="1" min="5" max="5" width="9.88"/>
    <col customWidth="1" min="6" max="7" width="10.13"/>
    <col customWidth="1" min="8" max="8" width="14.13"/>
    <col customWidth="1" min="10" max="10" width="16.75"/>
    <col customWidth="1" min="11" max="11" width="4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46160.0</v>
      </c>
      <c r="M1" s="4">
        <v>46161.0</v>
      </c>
      <c r="N1" s="4">
        <v>46162.0</v>
      </c>
      <c r="O1" s="4">
        <v>46163.0</v>
      </c>
      <c r="P1" s="4">
        <v>46164.0</v>
      </c>
      <c r="Q1" s="4">
        <v>46165.0</v>
      </c>
      <c r="R1" s="4">
        <v>46166.0</v>
      </c>
      <c r="S1" s="4">
        <v>46167.0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5" t="s">
        <v>10</v>
      </c>
      <c r="C2" s="7">
        <v>0.0406278855</v>
      </c>
      <c r="D2" s="7">
        <v>0.05128205128</v>
      </c>
      <c r="E2" s="7">
        <v>0.03909774436</v>
      </c>
      <c r="F2" s="7">
        <v>0.04245283019</v>
      </c>
      <c r="G2" s="7">
        <v>0.04060913706</v>
      </c>
      <c r="H2" s="8">
        <f t="shared" ref="H2:H64" si="1">G2-F2</f>
        <v>-0.00184369313</v>
      </c>
      <c r="I2" s="9"/>
      <c r="J2" s="5" t="str">
        <f>IFERROR(__xludf.DUMMYFUNCTION("ARRAYFORMULA(
  IF(K2:K62="""","""",
    XLOOKUP(
      REGEXREPLACE(K2:K62,""^BC\b"",""Bưu Cục""),
      CoCauVung!B:B,
      CoCauVung!D:D
    )
  )
)
"),"Nguyễn Tuấn Anh")</f>
        <v>Nguyễn Tuấn Anh</v>
      </c>
      <c r="K2" s="16" t="s">
        <v>10</v>
      </c>
      <c r="L2" s="17">
        <v>0.04433497536945813</v>
      </c>
      <c r="M2" s="17">
        <v>0.04265402843601896</v>
      </c>
      <c r="N2" s="17">
        <v>0.0392156862745098</v>
      </c>
      <c r="O2" s="17">
        <v>0.026737967914438502</v>
      </c>
      <c r="P2" s="17">
        <v>0.061224489795918366</v>
      </c>
      <c r="Q2" s="17">
        <v>0.03255813953488372</v>
      </c>
      <c r="R2" s="17">
        <v>0.05069124423963134</v>
      </c>
      <c r="S2" s="17">
        <v>0.04060913705583756</v>
      </c>
      <c r="T2" s="8">
        <f t="shared" ref="T2:T63" si="2">S2-R2</f>
        <v>-0.01008210718</v>
      </c>
      <c r="U2" s="8">
        <f t="shared" ref="U2:U63" si="3">S2-L2</f>
        <v>-0.003725838314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5" t="str">
        <f>IFERROR(__xludf.DUMMYFUNCTION("""COMPUTED_VALUE"""),"Nguyễn Việt Tới")</f>
        <v>Nguyễn Việt Tới</v>
      </c>
      <c r="B3" s="5" t="s">
        <v>11</v>
      </c>
      <c r="C3" s="7">
        <v>0.03227252353</v>
      </c>
      <c r="D3" s="7">
        <v>0.03140096618</v>
      </c>
      <c r="E3" s="7">
        <v>0.03794326241</v>
      </c>
      <c r="F3" s="7">
        <v>0.02691632534</v>
      </c>
      <c r="G3" s="7">
        <v>0.03777777778</v>
      </c>
      <c r="H3" s="8">
        <f t="shared" si="1"/>
        <v>0.01086145244</v>
      </c>
      <c r="I3" s="9"/>
      <c r="J3" s="5" t="str">
        <f>IFERROR(__xludf.DUMMYFUNCTION("""COMPUTED_VALUE"""),"Nguyễn Việt Tới")</f>
        <v>Nguyễn Việt Tới</v>
      </c>
      <c r="K3" s="16" t="s">
        <v>11</v>
      </c>
      <c r="L3" s="17">
        <v>0.01364522417153996</v>
      </c>
      <c r="M3" s="17">
        <v>0.029906542056074768</v>
      </c>
      <c r="N3" s="17">
        <v>0.018223234624145785</v>
      </c>
      <c r="O3" s="17">
        <v>0.021367521367521368</v>
      </c>
      <c r="P3" s="17">
        <v>0.03466204506065858</v>
      </c>
      <c r="Q3" s="17">
        <v>0.02531645569620253</v>
      </c>
      <c r="R3" s="17">
        <v>0.04611650485436893</v>
      </c>
      <c r="S3" s="17">
        <v>0.03777777777777778</v>
      </c>
      <c r="T3" s="8">
        <f t="shared" si="2"/>
        <v>-0.008338727077</v>
      </c>
      <c r="U3" s="8">
        <f t="shared" si="3"/>
        <v>0.02413255361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5" t="str">
        <f>IFERROR(__xludf.DUMMYFUNCTION("""COMPUTED_VALUE"""),"Lý Quài Nhân")</f>
        <v>Lý Quài Nhân</v>
      </c>
      <c r="B4" s="5" t="s">
        <v>12</v>
      </c>
      <c r="C4" s="7">
        <v>0.06516853933</v>
      </c>
      <c r="D4" s="7">
        <v>0.05828779599</v>
      </c>
      <c r="E4" s="7">
        <v>0.04350528278</v>
      </c>
      <c r="F4" s="7">
        <v>0.04148706897</v>
      </c>
      <c r="G4" s="7">
        <v>0.04782608696</v>
      </c>
      <c r="H4" s="8">
        <f t="shared" si="1"/>
        <v>0.00633901799</v>
      </c>
      <c r="I4" s="9"/>
      <c r="J4" s="5" t="str">
        <f>IFERROR(__xludf.DUMMYFUNCTION("""COMPUTED_VALUE"""),"Lý Quài Nhân")</f>
        <v>Lý Quài Nhân</v>
      </c>
      <c r="K4" s="16" t="s">
        <v>12</v>
      </c>
      <c r="L4" s="17">
        <v>0.04184100418410042</v>
      </c>
      <c r="M4" s="17">
        <v>0.0456140350877193</v>
      </c>
      <c r="N4" s="17">
        <v>0.02247191011235955</v>
      </c>
      <c r="O4" s="17">
        <v>0.02348993288590604</v>
      </c>
      <c r="P4" s="17">
        <v>0.058394160583941604</v>
      </c>
      <c r="Q4" s="17">
        <v>0.046610169491525424</v>
      </c>
      <c r="R4" s="17">
        <v>0.054474708171206226</v>
      </c>
      <c r="S4" s="17">
        <v>0.04782608695652174</v>
      </c>
      <c r="T4" s="8">
        <f t="shared" si="2"/>
        <v>-0.006648621215</v>
      </c>
      <c r="U4" s="8">
        <f t="shared" si="3"/>
        <v>0.005985082772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5" t="str">
        <f>IFERROR(__xludf.DUMMYFUNCTION("""COMPUTED_VALUE"""),"Đoàn Công Tín")</f>
        <v>Đoàn Công Tín</v>
      </c>
      <c r="B5" s="5" t="s">
        <v>13</v>
      </c>
      <c r="C5" s="7">
        <v>0.0400163332</v>
      </c>
      <c r="D5" s="7">
        <v>0.05273566249</v>
      </c>
      <c r="E5" s="7">
        <v>0.06591405681</v>
      </c>
      <c r="F5" s="7">
        <v>0.05238879736</v>
      </c>
      <c r="G5" s="7">
        <v>0.03097345133</v>
      </c>
      <c r="H5" s="8">
        <f t="shared" si="1"/>
        <v>-0.02141534603</v>
      </c>
      <c r="I5" s="9"/>
      <c r="J5" s="5" t="str">
        <f>IFERROR(__xludf.DUMMYFUNCTION("""COMPUTED_VALUE"""),"Đoàn Công Tín")</f>
        <v>Đoàn Công Tín</v>
      </c>
      <c r="K5" s="16" t="s">
        <v>13</v>
      </c>
      <c r="L5" s="17">
        <v>0.05172413793103448</v>
      </c>
      <c r="M5" s="17">
        <v>0.05321507760532151</v>
      </c>
      <c r="N5" s="17">
        <v>0.04794520547945205</v>
      </c>
      <c r="O5" s="17">
        <v>0.03090507726269316</v>
      </c>
      <c r="P5" s="17">
        <v>0.05133928571428571</v>
      </c>
      <c r="Q5" s="17">
        <v>0.04285714285714286</v>
      </c>
      <c r="R5" s="17">
        <v>0.09695290858725762</v>
      </c>
      <c r="S5" s="17">
        <v>0.030973451327433628</v>
      </c>
      <c r="T5" s="8">
        <f t="shared" si="2"/>
        <v>-0.06597945726</v>
      </c>
      <c r="U5" s="8">
        <f t="shared" si="3"/>
        <v>-0.0207506866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5" t="str">
        <f>IFERROR(__xludf.DUMMYFUNCTION("""COMPUTED_VALUE"""),"Đoàn Công Tín")</f>
        <v>Đoàn Công Tín</v>
      </c>
      <c r="B6" s="5" t="s">
        <v>14</v>
      </c>
      <c r="C6" s="7">
        <v>0.03447132913</v>
      </c>
      <c r="D6" s="7">
        <v>0.03633633634</v>
      </c>
      <c r="E6" s="7">
        <v>0.03335579515</v>
      </c>
      <c r="F6" s="7">
        <v>0.03825650674</v>
      </c>
      <c r="G6" s="7">
        <v>0.044345898</v>
      </c>
      <c r="H6" s="8">
        <f t="shared" si="1"/>
        <v>0.00608939126</v>
      </c>
      <c r="I6" s="9"/>
      <c r="J6" s="5" t="str">
        <f>IFERROR(__xludf.DUMMYFUNCTION("""COMPUTED_VALUE"""),"Đoàn Công Tín")</f>
        <v>Đoàn Công Tín</v>
      </c>
      <c r="K6" s="16" t="s">
        <v>14</v>
      </c>
      <c r="L6" s="17">
        <v>0.036281179138321996</v>
      </c>
      <c r="M6" s="17">
        <v>0.05555555555555555</v>
      </c>
      <c r="N6" s="17">
        <v>0.02962962962962963</v>
      </c>
      <c r="O6" s="17">
        <v>0.028282828282828285</v>
      </c>
      <c r="P6" s="17">
        <v>0.04771371769383698</v>
      </c>
      <c r="Q6" s="17">
        <v>0.023809523809523808</v>
      </c>
      <c r="R6" s="17">
        <v>0.0443213296398892</v>
      </c>
      <c r="S6" s="17">
        <v>0.04434589800443459</v>
      </c>
      <c r="T6" s="8">
        <f t="shared" si="2"/>
        <v>0.00002456836455</v>
      </c>
      <c r="U6" s="8">
        <f t="shared" si="3"/>
        <v>0.008064718866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5" t="str">
        <f>IFERROR(__xludf.DUMMYFUNCTION("""COMPUTED_VALUE"""),"Ngô Phan Mỹ Tú")</f>
        <v>Ngô Phan Mỹ Tú</v>
      </c>
      <c r="B7" s="5" t="s">
        <v>15</v>
      </c>
      <c r="C7" s="7">
        <v>0.04121306376</v>
      </c>
      <c r="D7" s="7">
        <v>0.04379562044</v>
      </c>
      <c r="E7" s="7">
        <v>0.05103448276</v>
      </c>
      <c r="F7" s="7">
        <v>0.04725692558</v>
      </c>
      <c r="G7" s="7">
        <v>0.06930693069</v>
      </c>
      <c r="H7" s="8">
        <f t="shared" si="1"/>
        <v>0.02205000511</v>
      </c>
      <c r="I7" s="9"/>
      <c r="J7" s="5" t="str">
        <f>IFERROR(__xludf.DUMMYFUNCTION("""COMPUTED_VALUE"""),"Ngô Phan Mỹ Tú")</f>
        <v>Ngô Phan Mỹ Tú</v>
      </c>
      <c r="K7" s="16" t="s">
        <v>15</v>
      </c>
      <c r="L7" s="17">
        <v>0.06882591093117409</v>
      </c>
      <c r="M7" s="17">
        <v>0.053231939163498096</v>
      </c>
      <c r="N7" s="17">
        <v>0.0375</v>
      </c>
      <c r="O7" s="17">
        <v>0.0380952380952381</v>
      </c>
      <c r="P7" s="17">
        <v>0.045112781954887216</v>
      </c>
      <c r="Q7" s="17">
        <v>0.05019305019305019</v>
      </c>
      <c r="R7" s="17">
        <v>0.0398406374501992</v>
      </c>
      <c r="S7" s="17">
        <v>0.06930693069306931</v>
      </c>
      <c r="T7" s="8">
        <f t="shared" si="2"/>
        <v>0.02946629324</v>
      </c>
      <c r="U7" s="8">
        <f t="shared" si="3"/>
        <v>0.0004810197619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5" t="str">
        <f>IFERROR(__xludf.DUMMYFUNCTION("""COMPUTED_VALUE"""),"Lâm Xuân Vinh")</f>
        <v>Lâm Xuân Vinh</v>
      </c>
      <c r="B8" s="5" t="s">
        <v>16</v>
      </c>
      <c r="C8" s="7">
        <v>0.05988857939</v>
      </c>
      <c r="D8" s="7">
        <v>0.05524553571</v>
      </c>
      <c r="E8" s="7">
        <v>0.07837837838</v>
      </c>
      <c r="F8" s="7">
        <v>0.06237816764</v>
      </c>
      <c r="G8" s="7">
        <v>0.04089219331</v>
      </c>
      <c r="H8" s="8">
        <f t="shared" si="1"/>
        <v>-0.02148597433</v>
      </c>
      <c r="I8" s="9"/>
      <c r="J8" s="5" t="str">
        <f>IFERROR(__xludf.DUMMYFUNCTION("""COMPUTED_VALUE"""),"Lâm Xuân Vinh")</f>
        <v>Lâm Xuân Vinh</v>
      </c>
      <c r="K8" s="16" t="s">
        <v>16</v>
      </c>
      <c r="L8" s="17">
        <v>0.05329153605015674</v>
      </c>
      <c r="M8" s="17">
        <v>0.08974358974358974</v>
      </c>
      <c r="N8" s="17">
        <v>0.06930693069306931</v>
      </c>
      <c r="O8" s="17">
        <v>0.040123456790123455</v>
      </c>
      <c r="P8" s="17">
        <v>0.05172413793103448</v>
      </c>
      <c r="Q8" s="17">
        <v>0.02903225806451613</v>
      </c>
      <c r="R8" s="17">
        <v>0.12886597938144329</v>
      </c>
      <c r="S8" s="17">
        <v>0.040892193308550186</v>
      </c>
      <c r="T8" s="8">
        <f t="shared" si="2"/>
        <v>-0.08797378607</v>
      </c>
      <c r="U8" s="8">
        <f t="shared" si="3"/>
        <v>-0.01239934274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>
      <c r="A9" s="5" t="str">
        <f>IFERROR(__xludf.DUMMYFUNCTION("""COMPUTED_VALUE"""),"Nguyễn Tuấn Anh")</f>
        <v>Nguyễn Tuấn Anh</v>
      </c>
      <c r="B9" s="5" t="s">
        <v>17</v>
      </c>
      <c r="C9" s="7">
        <v>0.03422313484</v>
      </c>
      <c r="D9" s="7">
        <v>0.04590354445</v>
      </c>
      <c r="E9" s="7">
        <v>0.03933253874</v>
      </c>
      <c r="F9" s="7">
        <v>0.03011093502</v>
      </c>
      <c r="G9" s="7">
        <v>0.04347826087</v>
      </c>
      <c r="H9" s="8">
        <f t="shared" si="1"/>
        <v>0.01336732585</v>
      </c>
      <c r="I9" s="9"/>
      <c r="J9" s="5" t="str">
        <f>IFERROR(__xludf.DUMMYFUNCTION("""COMPUTED_VALUE"""),"Nguyễn Tuấn Anh")</f>
        <v>Nguyễn Tuấn Anh</v>
      </c>
      <c r="K9" s="16" t="s">
        <v>17</v>
      </c>
      <c r="L9" s="17">
        <v>0.022388059701492536</v>
      </c>
      <c r="M9" s="17">
        <v>0.030716723549488054</v>
      </c>
      <c r="N9" s="17">
        <v>0.026143790849673203</v>
      </c>
      <c r="O9" s="17">
        <v>0.03676470588235294</v>
      </c>
      <c r="P9" s="17">
        <v>0.03214285714285714</v>
      </c>
      <c r="Q9" s="17">
        <v>0.032520325203252036</v>
      </c>
      <c r="R9" s="17">
        <v>0.03070175438596491</v>
      </c>
      <c r="S9" s="17">
        <v>0.043478260869565216</v>
      </c>
      <c r="T9" s="8">
        <f t="shared" si="2"/>
        <v>0.01277650648</v>
      </c>
      <c r="U9" s="8">
        <f t="shared" si="3"/>
        <v>0.02109020117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5" t="str">
        <f>IFERROR(__xludf.DUMMYFUNCTION("""COMPUTED_VALUE"""),"Nguyễn Tuấn Anh")</f>
        <v>Nguyễn Tuấn Anh</v>
      </c>
      <c r="B10" s="5" t="s">
        <v>18</v>
      </c>
      <c r="C10" s="7">
        <v>0.05467511886</v>
      </c>
      <c r="D10" s="7">
        <v>0.04179663132</v>
      </c>
      <c r="E10" s="7">
        <v>0.04434728295</v>
      </c>
      <c r="F10" s="7">
        <v>0.03754831585</v>
      </c>
      <c r="G10" s="7">
        <v>0.06113537118</v>
      </c>
      <c r="H10" s="8">
        <f t="shared" si="1"/>
        <v>0.02358705533</v>
      </c>
      <c r="I10" s="9"/>
      <c r="J10" s="5" t="str">
        <f>IFERROR(__xludf.DUMMYFUNCTION("""COMPUTED_VALUE"""),"Nguyễn Tuấn Anh")</f>
        <v>Nguyễn Tuấn Anh</v>
      </c>
      <c r="K10" s="16" t="s">
        <v>18</v>
      </c>
      <c r="L10" s="17">
        <v>0.04247104247104247</v>
      </c>
      <c r="M10" s="17">
        <v>0.04330708661417323</v>
      </c>
      <c r="N10" s="17">
        <v>0.03508771929824561</v>
      </c>
      <c r="O10" s="17">
        <v>0.015503875968992248</v>
      </c>
      <c r="P10" s="17">
        <v>0.022988505747126436</v>
      </c>
      <c r="Q10" s="17">
        <v>0.044</v>
      </c>
      <c r="R10" s="17">
        <v>0.06147540983606557</v>
      </c>
      <c r="S10" s="17">
        <v>0.0611353711790393</v>
      </c>
      <c r="T10" s="8">
        <f t="shared" si="2"/>
        <v>-0.000340038657</v>
      </c>
      <c r="U10" s="8">
        <f t="shared" si="3"/>
        <v>0.01866432871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>
      <c r="A11" s="5" t="str">
        <f>IFERROR(__xludf.DUMMYFUNCTION("""COMPUTED_VALUE"""),"Nguyễn Tuấn Anh")</f>
        <v>Nguyễn Tuấn Anh</v>
      </c>
      <c r="B11" s="5" t="s">
        <v>19</v>
      </c>
      <c r="C11" s="7">
        <v>0.2234636872</v>
      </c>
      <c r="D11" s="7">
        <v>0.1204819277</v>
      </c>
      <c r="E11" s="7">
        <v>0.177538287</v>
      </c>
      <c r="F11" s="7">
        <v>0.4107018763</v>
      </c>
      <c r="G11" s="7">
        <v>0.4975609756</v>
      </c>
      <c r="H11" s="8">
        <f t="shared" si="1"/>
        <v>0.0868590993</v>
      </c>
      <c r="I11" s="9"/>
      <c r="J11" s="5" t="str">
        <f>IFERROR(__xludf.DUMMYFUNCTION("""COMPUTED_VALUE"""),"Nguyễn Tuấn Anh")</f>
        <v>Nguyễn Tuấn Anh</v>
      </c>
      <c r="K11" s="16" t="s">
        <v>19</v>
      </c>
      <c r="L11" s="17">
        <v>0.2064516129032258</v>
      </c>
      <c r="M11" s="17">
        <v>0.3247863247863248</v>
      </c>
      <c r="N11" s="17">
        <v>0.4161849710982659</v>
      </c>
      <c r="O11" s="17">
        <v>0.5692307692307692</v>
      </c>
      <c r="P11" s="17">
        <v>0.5023255813953489</v>
      </c>
      <c r="Q11" s="17">
        <v>0.5106382978723404</v>
      </c>
      <c r="R11" s="17">
        <v>0.5343915343915344</v>
      </c>
      <c r="S11" s="17">
        <v>0.4975609756097561</v>
      </c>
      <c r="T11" s="8">
        <f t="shared" si="2"/>
        <v>-0.03683055878</v>
      </c>
      <c r="U11" s="8">
        <f t="shared" si="3"/>
        <v>0.2911093627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5" t="str">
        <f>IFERROR(__xludf.DUMMYFUNCTION("""COMPUTED_VALUE"""),"Nguyễn Anh Tùng")</f>
        <v>Nguyễn Anh Tùng</v>
      </c>
      <c r="B12" s="5" t="s">
        <v>20</v>
      </c>
      <c r="C12" s="7">
        <v>0.02987012987</v>
      </c>
      <c r="D12" s="7">
        <v>0.02814569536</v>
      </c>
      <c r="E12" s="7">
        <v>0.0390070922</v>
      </c>
      <c r="F12" s="7">
        <v>0.03919933278</v>
      </c>
      <c r="G12" s="7">
        <v>0.04651162791</v>
      </c>
      <c r="H12" s="8">
        <f t="shared" si="1"/>
        <v>0.00731229513</v>
      </c>
      <c r="I12" s="9"/>
      <c r="J12" s="5" t="str">
        <f>IFERROR(__xludf.DUMMYFUNCTION("""COMPUTED_VALUE"""),"Nguyễn Anh Tùng")</f>
        <v>Nguyễn Anh Tùng</v>
      </c>
      <c r="K12" s="16" t="s">
        <v>20</v>
      </c>
      <c r="L12" s="17">
        <v>0.05013927576601671</v>
      </c>
      <c r="M12" s="17">
        <v>0.04859335038363171</v>
      </c>
      <c r="N12" s="17">
        <v>0.06116207951070336</v>
      </c>
      <c r="O12" s="17">
        <v>0.027624309392265192</v>
      </c>
      <c r="P12" s="17">
        <v>0.03409090909090909</v>
      </c>
      <c r="Q12" s="17">
        <v>0.02</v>
      </c>
      <c r="R12" s="17">
        <v>0.029315960912052116</v>
      </c>
      <c r="S12" s="17">
        <v>0.046511627906976744</v>
      </c>
      <c r="T12" s="8">
        <f t="shared" si="2"/>
        <v>0.01719566699</v>
      </c>
      <c r="U12" s="8">
        <f t="shared" si="3"/>
        <v>-0.003627647859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5" t="str">
        <f>IFERROR(__xludf.DUMMYFUNCTION("""COMPUTED_VALUE"""),"Huỳnh Quốc Trung")</f>
        <v>Huỳnh Quốc Trung</v>
      </c>
      <c r="B13" s="5" t="s">
        <v>21</v>
      </c>
      <c r="C13" s="7">
        <v>0.1205673759</v>
      </c>
      <c r="D13" s="7">
        <v>0.08783239323</v>
      </c>
      <c r="E13" s="7">
        <v>0.07424960506</v>
      </c>
      <c r="F13" s="7">
        <v>0.08498808578</v>
      </c>
      <c r="G13" s="7">
        <v>0.04672897196</v>
      </c>
      <c r="H13" s="8">
        <f t="shared" si="1"/>
        <v>-0.03825911382</v>
      </c>
      <c r="I13" s="9"/>
      <c r="J13" s="5" t="str">
        <f>IFERROR(__xludf.DUMMYFUNCTION("""COMPUTED_VALUE"""),"Huỳnh Quốc Trung")</f>
        <v>Huỳnh Quốc Trung</v>
      </c>
      <c r="K13" s="16" t="s">
        <v>21</v>
      </c>
      <c r="L13" s="17">
        <v>0.07692307692307693</v>
      </c>
      <c r="M13" s="17">
        <v>0.04568527918781726</v>
      </c>
      <c r="N13" s="17">
        <v>0.09693877551020408</v>
      </c>
      <c r="O13" s="17">
        <v>0.057803468208092484</v>
      </c>
      <c r="P13" s="17">
        <v>0.09424083769633508</v>
      </c>
      <c r="Q13" s="17">
        <v>0.12987012987012986</v>
      </c>
      <c r="R13" s="17">
        <v>0.10240963855421686</v>
      </c>
      <c r="S13" s="17">
        <v>0.04672897196261682</v>
      </c>
      <c r="T13" s="8">
        <f t="shared" si="2"/>
        <v>-0.05568066659</v>
      </c>
      <c r="U13" s="8">
        <f t="shared" si="3"/>
        <v>-0.03019410496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>
      <c r="A14" s="5" t="str">
        <f>IFERROR(__xludf.DUMMYFUNCTION("""COMPUTED_VALUE"""),"Nguyễn Tuấn Anh")</f>
        <v>Nguyễn Tuấn Anh</v>
      </c>
      <c r="B14" s="5" t="s">
        <v>22</v>
      </c>
      <c r="C14" s="7">
        <v>0.05084745763</v>
      </c>
      <c r="D14" s="7">
        <v>0.04210526316</v>
      </c>
      <c r="E14" s="7">
        <v>0.04526252263</v>
      </c>
      <c r="F14" s="7">
        <v>0.035374868</v>
      </c>
      <c r="G14" s="7">
        <v>0.03663003663</v>
      </c>
      <c r="H14" s="8">
        <f t="shared" si="1"/>
        <v>0.00125516863</v>
      </c>
      <c r="I14" s="9"/>
      <c r="J14" s="5" t="str">
        <f>IFERROR(__xludf.DUMMYFUNCTION("""COMPUTED_VALUE"""),"Nguyễn Tuấn Anh")</f>
        <v>Nguyễn Tuấn Anh</v>
      </c>
      <c r="K14" s="16" t="s">
        <v>22</v>
      </c>
      <c r="L14" s="17">
        <v>0.02766798418972332</v>
      </c>
      <c r="M14" s="17">
        <v>0.04983388704318937</v>
      </c>
      <c r="N14" s="17">
        <v>0.05474452554744526</v>
      </c>
      <c r="O14" s="17">
        <v>0.03409090909090909</v>
      </c>
      <c r="P14" s="17">
        <v>0.03383458646616541</v>
      </c>
      <c r="Q14" s="17">
        <v>0.016611295681063124</v>
      </c>
      <c r="R14" s="17">
        <v>0.029787234042553193</v>
      </c>
      <c r="S14" s="17">
        <v>0.03663003663003663</v>
      </c>
      <c r="T14" s="8">
        <f t="shared" si="2"/>
        <v>0.006842802587</v>
      </c>
      <c r="U14" s="8">
        <f t="shared" si="3"/>
        <v>0.00896205244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>
      <c r="A15" s="5" t="str">
        <f>IFERROR(__xludf.DUMMYFUNCTION("""COMPUTED_VALUE"""),"Nguyễn Anh Tùng")</f>
        <v>Nguyễn Anh Tùng</v>
      </c>
      <c r="B15" s="5" t="s">
        <v>23</v>
      </c>
      <c r="C15" s="7">
        <v>0.04276069017</v>
      </c>
      <c r="D15" s="7">
        <v>0.04765909728</v>
      </c>
      <c r="E15" s="7">
        <v>0.03407053198</v>
      </c>
      <c r="F15" s="7">
        <v>0.08252578931</v>
      </c>
      <c r="G15" s="7">
        <v>0.1282051282</v>
      </c>
      <c r="H15" s="8">
        <f t="shared" si="1"/>
        <v>0.04567933889</v>
      </c>
      <c r="I15" s="9"/>
      <c r="J15" s="5" t="str">
        <f>IFERROR(__xludf.DUMMYFUNCTION("""COMPUTED_VALUE"""),"Nguyễn Anh Tùng")</f>
        <v>Nguyễn Anh Tùng</v>
      </c>
      <c r="K15" s="16" t="s">
        <v>23</v>
      </c>
      <c r="L15" s="17">
        <v>0.0670995670995671</v>
      </c>
      <c r="M15" s="17">
        <v>0.08994708994708994</v>
      </c>
      <c r="N15" s="17">
        <v>0.0824295010845987</v>
      </c>
      <c r="O15" s="17">
        <v>0.06391752577319587</v>
      </c>
      <c r="P15" s="17">
        <v>0.07628865979381444</v>
      </c>
      <c r="Q15" s="17">
        <v>0.11138014527845036</v>
      </c>
      <c r="R15" s="17">
        <v>0.09202453987730061</v>
      </c>
      <c r="S15" s="17">
        <v>0.1282051282051282</v>
      </c>
      <c r="T15" s="8">
        <f t="shared" si="2"/>
        <v>0.03618058833</v>
      </c>
      <c r="U15" s="8">
        <f t="shared" si="3"/>
        <v>0.06110556111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5" t="str">
        <f>IFERROR(__xludf.DUMMYFUNCTION("""COMPUTED_VALUE"""),"Đoàn Công Tín")</f>
        <v>Đoàn Công Tín</v>
      </c>
      <c r="B16" s="5" t="s">
        <v>24</v>
      </c>
      <c r="C16" s="7">
        <v>0.03399048266</v>
      </c>
      <c r="D16" s="7">
        <v>0.03476206547</v>
      </c>
      <c r="E16" s="7">
        <v>0.04309740715</v>
      </c>
      <c r="F16" s="7">
        <v>0.03950863214</v>
      </c>
      <c r="G16" s="7">
        <v>0.08847184987</v>
      </c>
      <c r="H16" s="8">
        <f t="shared" si="1"/>
        <v>0.04896321773</v>
      </c>
      <c r="I16" s="9"/>
      <c r="J16" s="5" t="str">
        <f>IFERROR(__xludf.DUMMYFUNCTION("""COMPUTED_VALUE"""),"Đoàn Công Tín")</f>
        <v>Đoàn Công Tín</v>
      </c>
      <c r="K16" s="16" t="s">
        <v>24</v>
      </c>
      <c r="L16" s="17">
        <v>0.039603960396039604</v>
      </c>
      <c r="M16" s="17">
        <v>0.04433497536945813</v>
      </c>
      <c r="N16" s="17">
        <v>0.03722084367245657</v>
      </c>
      <c r="O16" s="17">
        <v>0.03368421052631579</v>
      </c>
      <c r="P16" s="17">
        <v>0.04245283018867924</v>
      </c>
      <c r="Q16" s="17">
        <v>0.03563941299790356</v>
      </c>
      <c r="R16" s="17">
        <v>0.04491725768321513</v>
      </c>
      <c r="S16" s="17">
        <v>0.08847184986595175</v>
      </c>
      <c r="T16" s="8">
        <f t="shared" si="2"/>
        <v>0.04355459218</v>
      </c>
      <c r="U16" s="8">
        <f t="shared" si="3"/>
        <v>0.04886788947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5" t="str">
        <f>IFERROR(__xludf.DUMMYFUNCTION("""COMPUTED_VALUE"""),"#N/A")</f>
        <v>#N/A</v>
      </c>
      <c r="B17" s="5" t="s">
        <v>25</v>
      </c>
      <c r="C17" s="7">
        <v>0.04133858268</v>
      </c>
      <c r="D17" s="7">
        <v>0.0488</v>
      </c>
      <c r="E17" s="7">
        <v>0.02593659942</v>
      </c>
      <c r="F17" s="7"/>
      <c r="G17" s="7"/>
      <c r="H17" s="8">
        <f t="shared" si="1"/>
        <v>0</v>
      </c>
      <c r="I17" s="9"/>
      <c r="J17" s="5" t="str">
        <f>IFERROR(__xludf.DUMMYFUNCTION("""COMPUTED_VALUE"""),"Nguyễn Anh Tùng")</f>
        <v>Nguyễn Anh Tùng</v>
      </c>
      <c r="K17" s="16" t="s">
        <v>26</v>
      </c>
      <c r="L17" s="17">
        <v>0.13858695652173914</v>
      </c>
      <c r="M17" s="17">
        <v>0.10094637223974763</v>
      </c>
      <c r="N17" s="17">
        <v>0.08083832335329341</v>
      </c>
      <c r="O17" s="17">
        <v>0.1638888888888889</v>
      </c>
      <c r="P17" s="17">
        <v>0.08928571428571429</v>
      </c>
      <c r="Q17" s="17">
        <v>0.1628498727735369</v>
      </c>
      <c r="R17" s="17">
        <v>0.3443708609271523</v>
      </c>
      <c r="S17" s="17">
        <v>0.27696793002915454</v>
      </c>
      <c r="T17" s="8">
        <f t="shared" si="2"/>
        <v>-0.0674029309</v>
      </c>
      <c r="U17" s="8">
        <f t="shared" si="3"/>
        <v>0.1383809735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5" t="str">
        <f>IFERROR(__xludf.DUMMYFUNCTION("""COMPUTED_VALUE"""),"Nguyễn Anh Tùng")</f>
        <v>Nguyễn Anh Tùng</v>
      </c>
      <c r="B18" s="5" t="s">
        <v>26</v>
      </c>
      <c r="C18" s="7">
        <v>0.1685902721</v>
      </c>
      <c r="D18" s="7">
        <v>0.1365506921</v>
      </c>
      <c r="E18" s="7">
        <v>0.1528497409</v>
      </c>
      <c r="F18" s="7">
        <v>0.1522821577</v>
      </c>
      <c r="G18" s="7">
        <v>0.27696793</v>
      </c>
      <c r="H18" s="8">
        <f t="shared" si="1"/>
        <v>0.1246857723</v>
      </c>
      <c r="I18" s="9"/>
      <c r="J18" s="5" t="str">
        <f>IFERROR(__xludf.DUMMYFUNCTION("""COMPUTED_VALUE"""),"Lâm Xuân Vinh")</f>
        <v>Lâm Xuân Vinh</v>
      </c>
      <c r="K18" s="16" t="s">
        <v>27</v>
      </c>
      <c r="L18" s="17">
        <v>0.04216867469879518</v>
      </c>
      <c r="M18" s="17">
        <v>0.057692307692307696</v>
      </c>
      <c r="N18" s="17">
        <v>0.030303030303030304</v>
      </c>
      <c r="O18" s="17">
        <v>0.0783132530120482</v>
      </c>
      <c r="P18" s="17">
        <v>0.039473684210526314</v>
      </c>
      <c r="Q18" s="17">
        <v>0.040229885057471264</v>
      </c>
      <c r="R18" s="17">
        <v>0.03</v>
      </c>
      <c r="S18" s="17">
        <v>0.042105263157894736</v>
      </c>
      <c r="T18" s="8">
        <f t="shared" si="2"/>
        <v>0.01210526316</v>
      </c>
      <c r="U18" s="8">
        <f t="shared" si="3"/>
        <v>-0.0000634115409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5" t="str">
        <f>IFERROR(__xludf.DUMMYFUNCTION("""COMPUTED_VALUE"""),"Lâm Xuân Vinh")</f>
        <v>Lâm Xuân Vinh</v>
      </c>
      <c r="B19" s="5" t="s">
        <v>27</v>
      </c>
      <c r="C19" s="7">
        <v>0.05596330275</v>
      </c>
      <c r="D19" s="7">
        <v>0.05502392344</v>
      </c>
      <c r="E19" s="7">
        <v>0.07452339688</v>
      </c>
      <c r="F19" s="7">
        <v>0.04586330935</v>
      </c>
      <c r="G19" s="7">
        <v>0.04210526316</v>
      </c>
      <c r="H19" s="8">
        <f t="shared" si="1"/>
        <v>-0.00375804619</v>
      </c>
      <c r="I19" s="9"/>
      <c r="J19" s="5" t="str">
        <f>IFERROR(__xludf.DUMMYFUNCTION("""COMPUTED_VALUE"""),"Nguyễn Thành Huy")</f>
        <v>Nguyễn Thành Huy</v>
      </c>
      <c r="K19" s="16" t="s">
        <v>28</v>
      </c>
      <c r="L19" s="17">
        <v>0.04672897196261682</v>
      </c>
      <c r="M19" s="17">
        <v>0.053061224489795916</v>
      </c>
      <c r="N19" s="17">
        <v>0.03619909502262444</v>
      </c>
      <c r="O19" s="17">
        <v>0.03745318352059925</v>
      </c>
      <c r="P19" s="17">
        <v>0.0642570281124498</v>
      </c>
      <c r="Q19" s="17">
        <v>0.05017921146953405</v>
      </c>
      <c r="R19" s="17">
        <v>0.05150214592274678</v>
      </c>
      <c r="S19" s="17">
        <v>0.05084745762711865</v>
      </c>
      <c r="T19" s="8">
        <f t="shared" si="2"/>
        <v>-0.0006546882956</v>
      </c>
      <c r="U19" s="8">
        <f t="shared" si="3"/>
        <v>0.004118485665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>
      <c r="A20" s="5" t="str">
        <f>IFERROR(__xludf.DUMMYFUNCTION("""COMPUTED_VALUE"""),"Nguyễn Thành Huy")</f>
        <v>Nguyễn Thành Huy</v>
      </c>
      <c r="B20" s="5" t="s">
        <v>28</v>
      </c>
      <c r="C20" s="7">
        <v>0.0490874764</v>
      </c>
      <c r="D20" s="7">
        <v>0.06444053896</v>
      </c>
      <c r="E20" s="7">
        <v>0.05328135153</v>
      </c>
      <c r="F20" s="7">
        <v>0.04859484778</v>
      </c>
      <c r="G20" s="7">
        <v>0.05084745763</v>
      </c>
      <c r="H20" s="8">
        <f t="shared" si="1"/>
        <v>0.00225260985</v>
      </c>
      <c r="I20" s="9"/>
      <c r="J20" s="5" t="str">
        <f>IFERROR(__xludf.DUMMYFUNCTION("""COMPUTED_VALUE"""),"Lý Quài Nhân")</f>
        <v>Lý Quài Nhân</v>
      </c>
      <c r="K20" s="16" t="s">
        <v>29</v>
      </c>
      <c r="L20" s="17">
        <v>0.09090909090909091</v>
      </c>
      <c r="M20" s="17">
        <v>0.05421686746987952</v>
      </c>
      <c r="N20" s="17">
        <v>0.06918238993710692</v>
      </c>
      <c r="O20" s="17">
        <v>0.08648648648648649</v>
      </c>
      <c r="P20" s="17">
        <v>0.02336448598130841</v>
      </c>
      <c r="Q20" s="17">
        <v>0.054945054945054944</v>
      </c>
      <c r="R20" s="17">
        <v>0.078125</v>
      </c>
      <c r="S20" s="17">
        <v>0.07317073170731707</v>
      </c>
      <c r="T20" s="8">
        <f t="shared" si="2"/>
        <v>-0.004954268293</v>
      </c>
      <c r="U20" s="8">
        <f t="shared" si="3"/>
        <v>-0.0177383592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5" t="str">
        <f>IFERROR(__xludf.DUMMYFUNCTION("""COMPUTED_VALUE"""),"Lý Quài Nhân")</f>
        <v>Lý Quài Nhân</v>
      </c>
      <c r="B21" s="5" t="s">
        <v>29</v>
      </c>
      <c r="C21" s="7">
        <v>0.05450236967</v>
      </c>
      <c r="D21" s="7">
        <v>0.04247460757</v>
      </c>
      <c r="E21" s="7">
        <v>0.06694560669</v>
      </c>
      <c r="F21" s="7">
        <v>0.06313131313</v>
      </c>
      <c r="G21" s="7">
        <v>0.07317073171</v>
      </c>
      <c r="H21" s="8">
        <f t="shared" si="1"/>
        <v>0.01003941858</v>
      </c>
      <c r="I21" s="9"/>
      <c r="J21" s="5" t="str">
        <f>IFERROR(__xludf.DUMMYFUNCTION("""COMPUTED_VALUE"""),"Nguyễn Thành Huy")</f>
        <v>Nguyễn Thành Huy</v>
      </c>
      <c r="K21" s="16" t="s">
        <v>30</v>
      </c>
      <c r="L21" s="17">
        <v>0.032467532467532464</v>
      </c>
      <c r="M21" s="17">
        <v>0.037037037037037035</v>
      </c>
      <c r="N21" s="17">
        <v>0.0411522633744856</v>
      </c>
      <c r="O21" s="17">
        <v>0.02112676056338028</v>
      </c>
      <c r="P21" s="17">
        <v>0.024475524475524476</v>
      </c>
      <c r="Q21" s="17">
        <v>0.04814814814814815</v>
      </c>
      <c r="R21" s="17">
        <v>0.02072538860103627</v>
      </c>
      <c r="S21" s="17">
        <v>0.039711191335740074</v>
      </c>
      <c r="T21" s="8">
        <f t="shared" si="2"/>
        <v>0.01898580273</v>
      </c>
      <c r="U21" s="8">
        <f t="shared" si="3"/>
        <v>0.007243658868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5" t="str">
        <f>IFERROR(__xludf.DUMMYFUNCTION("""COMPUTED_VALUE"""),"Nguyễn Thành Huy")</f>
        <v>Nguyễn Thành Huy</v>
      </c>
      <c r="B22" s="5" t="s">
        <v>30</v>
      </c>
      <c r="C22" s="7">
        <v>0.04357668364</v>
      </c>
      <c r="D22" s="7">
        <v>0.04963427377</v>
      </c>
      <c r="E22" s="7">
        <v>0.05012077295</v>
      </c>
      <c r="F22" s="7">
        <v>0.03236245955</v>
      </c>
      <c r="G22" s="7">
        <v>0.03971119134</v>
      </c>
      <c r="H22" s="8">
        <f t="shared" si="1"/>
        <v>0.00734873179</v>
      </c>
      <c r="I22" s="9"/>
      <c r="J22" s="5" t="str">
        <f>IFERROR(__xludf.DUMMYFUNCTION("""COMPUTED_VALUE"""),"Lê Minh Tuấn")</f>
        <v>Lê Minh Tuấn</v>
      </c>
      <c r="K22" s="16" t="s">
        <v>31</v>
      </c>
      <c r="L22" s="17">
        <v>0.027624309392265192</v>
      </c>
      <c r="M22" s="17">
        <v>0.03767123287671233</v>
      </c>
      <c r="N22" s="17">
        <v>0.08071748878923767</v>
      </c>
      <c r="O22" s="17">
        <v>0.02247191011235955</v>
      </c>
      <c r="P22" s="17">
        <v>0.03503184713375796</v>
      </c>
      <c r="Q22" s="17">
        <v>0.02304147465437788</v>
      </c>
      <c r="R22" s="17">
        <v>0.07906976744186046</v>
      </c>
      <c r="S22" s="17">
        <v>0.05286343612334802</v>
      </c>
      <c r="T22" s="8">
        <f t="shared" si="2"/>
        <v>-0.02620633132</v>
      </c>
      <c r="U22" s="8">
        <f t="shared" si="3"/>
        <v>0.02523912673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5" t="str">
        <f>IFERROR(__xludf.DUMMYFUNCTION("""COMPUTED_VALUE"""),"Lê Minh Tuấn")</f>
        <v>Lê Minh Tuấn</v>
      </c>
      <c r="B23" s="5" t="s">
        <v>31</v>
      </c>
      <c r="C23" s="7">
        <v>0.03865652725</v>
      </c>
      <c r="D23" s="7">
        <v>0.0357839948</v>
      </c>
      <c r="E23" s="7">
        <v>0.0361362057</v>
      </c>
      <c r="F23" s="7">
        <v>0.04382716049</v>
      </c>
      <c r="G23" s="7">
        <v>0.05286343612</v>
      </c>
      <c r="H23" s="8">
        <f t="shared" si="1"/>
        <v>0.00903627563</v>
      </c>
      <c r="I23" s="9"/>
      <c r="J23" s="5" t="str">
        <f>IFERROR(__xludf.DUMMYFUNCTION("""COMPUTED_VALUE"""),"Huỳnh Phương Duy")</f>
        <v>Huỳnh Phương Duy</v>
      </c>
      <c r="K23" s="16" t="s">
        <v>32</v>
      </c>
      <c r="L23" s="17">
        <v>0.0234375</v>
      </c>
      <c r="M23" s="17">
        <v>0.05223880597014925</v>
      </c>
      <c r="N23" s="17">
        <v>0.03225806451612903</v>
      </c>
      <c r="O23" s="17">
        <v>0.012658227848101266</v>
      </c>
      <c r="P23" s="17">
        <v>0.025</v>
      </c>
      <c r="Q23" s="17">
        <v>0.019230769230769232</v>
      </c>
      <c r="R23" s="17">
        <v>0.03676470588235294</v>
      </c>
      <c r="S23" s="17">
        <v>0.045454545454545456</v>
      </c>
      <c r="T23" s="8">
        <f t="shared" si="2"/>
        <v>0.008689839572</v>
      </c>
      <c r="U23" s="8">
        <f t="shared" si="3"/>
        <v>0.02201704545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5" t="str">
        <f>IFERROR(__xludf.DUMMYFUNCTION("""COMPUTED_VALUE"""),"Huỳnh Phương Duy")</f>
        <v>Huỳnh Phương Duy</v>
      </c>
      <c r="B24" s="5" t="s">
        <v>32</v>
      </c>
      <c r="C24" s="7">
        <v>0.03800475059</v>
      </c>
      <c r="D24" s="7">
        <v>0.05055487053</v>
      </c>
      <c r="E24" s="7">
        <v>0.05704307334</v>
      </c>
      <c r="F24" s="7">
        <v>0.02824267782</v>
      </c>
      <c r="G24" s="7">
        <v>0.04545454545</v>
      </c>
      <c r="H24" s="8">
        <f t="shared" si="1"/>
        <v>0.01721186763</v>
      </c>
      <c r="I24" s="9"/>
      <c r="J24" s="5" t="str">
        <f>IFERROR(__xludf.DUMMYFUNCTION("""COMPUTED_VALUE"""),"#N/A")</f>
        <v>#N/A</v>
      </c>
      <c r="K24" s="16" t="s">
        <v>73</v>
      </c>
      <c r="L24" s="17">
        <v>0.03932584269662921</v>
      </c>
      <c r="M24" s="17">
        <v>0.03862660944206009</v>
      </c>
      <c r="N24" s="17">
        <v>0.03940886699507389</v>
      </c>
      <c r="O24" s="17">
        <v>0.03827751196172249</v>
      </c>
      <c r="P24" s="17">
        <v>0.024390243902439025</v>
      </c>
      <c r="Q24" s="17">
        <v>0.03932584269662921</v>
      </c>
      <c r="R24" s="17">
        <v>0.059574468085106386</v>
      </c>
      <c r="S24" s="17">
        <v>0.047619047619047616</v>
      </c>
      <c r="T24" s="8">
        <f t="shared" si="2"/>
        <v>-0.01195542047</v>
      </c>
      <c r="U24" s="8">
        <f t="shared" si="3"/>
        <v>0.008293204922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5" t="str">
        <f>IFERROR(__xludf.DUMMYFUNCTION("""COMPUTED_VALUE"""),"Nguyễn Tuấn Anh")</f>
        <v>Nguyễn Tuấn Anh</v>
      </c>
      <c r="B25" s="5" t="s">
        <v>33</v>
      </c>
      <c r="C25" s="7">
        <v>0.05093046033</v>
      </c>
      <c r="D25" s="7">
        <v>0.0455311973</v>
      </c>
      <c r="E25" s="7">
        <v>0.03655564582</v>
      </c>
      <c r="F25" s="7">
        <v>0.04024982651</v>
      </c>
      <c r="G25" s="7">
        <v>0.04761904762</v>
      </c>
      <c r="H25" s="8">
        <f t="shared" si="1"/>
        <v>0.00736922111</v>
      </c>
      <c r="I25" s="9"/>
      <c r="J25" s="5" t="str">
        <f>IFERROR(__xludf.DUMMYFUNCTION("""COMPUTED_VALUE"""),"Nguyễn Việt Tới")</f>
        <v>Nguyễn Việt Tới</v>
      </c>
      <c r="K25" s="16" t="s">
        <v>34</v>
      </c>
      <c r="L25" s="17">
        <v>0.03888888888888889</v>
      </c>
      <c r="M25" s="17">
        <v>0.075</v>
      </c>
      <c r="N25" s="17">
        <v>0.0975609756097561</v>
      </c>
      <c r="O25" s="17">
        <v>0.041916167664670656</v>
      </c>
      <c r="P25" s="17">
        <v>0.08629441624365482</v>
      </c>
      <c r="Q25" s="17">
        <v>0.07936507936507936</v>
      </c>
      <c r="R25" s="17">
        <v>0.12435233160621761</v>
      </c>
      <c r="S25" s="17">
        <v>0.04790419161676647</v>
      </c>
      <c r="T25" s="8">
        <f t="shared" si="2"/>
        <v>-0.07644813999</v>
      </c>
      <c r="U25" s="8">
        <f t="shared" si="3"/>
        <v>0.009015302728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5" t="str">
        <f>IFERROR(__xludf.DUMMYFUNCTION("""COMPUTED_VALUE"""),"Nguyễn Việt Tới")</f>
        <v>Nguyễn Việt Tới</v>
      </c>
      <c r="B26" s="5" t="s">
        <v>34</v>
      </c>
      <c r="C26" s="7">
        <v>0.08695652174</v>
      </c>
      <c r="D26" s="7">
        <v>0.04918032787</v>
      </c>
      <c r="E26" s="7">
        <v>0.06064073227</v>
      </c>
      <c r="F26" s="7">
        <v>0.07834877843</v>
      </c>
      <c r="G26" s="7">
        <v>0.04790419162</v>
      </c>
      <c r="H26" s="8">
        <f t="shared" si="1"/>
        <v>-0.03044458681</v>
      </c>
      <c r="I26" s="9"/>
      <c r="J26" s="5" t="str">
        <f>IFERROR(__xludf.DUMMYFUNCTION("""COMPUTED_VALUE"""),"Lê Minh Tuấn")</f>
        <v>Lê Minh Tuấn</v>
      </c>
      <c r="K26" s="16" t="s">
        <v>35</v>
      </c>
      <c r="L26" s="17">
        <v>0.022388059701492536</v>
      </c>
      <c r="M26" s="17">
        <v>0.02824858757062147</v>
      </c>
      <c r="N26" s="17">
        <v>0.025787965616045846</v>
      </c>
      <c r="O26" s="17">
        <v>0.034722222222222224</v>
      </c>
      <c r="P26" s="17">
        <v>0.032846715328467155</v>
      </c>
      <c r="Q26" s="17">
        <v>0.03048780487804878</v>
      </c>
      <c r="R26" s="17">
        <v>0.02786377708978328</v>
      </c>
      <c r="S26" s="17">
        <v>0.04918032786885246</v>
      </c>
      <c r="T26" s="8">
        <f t="shared" si="2"/>
        <v>0.02131655078</v>
      </c>
      <c r="U26" s="8">
        <f t="shared" si="3"/>
        <v>0.02679226817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5" t="str">
        <f>IFERROR(__xludf.DUMMYFUNCTION("""COMPUTED_VALUE"""),"Lê Minh Tuấn")</f>
        <v>Lê Minh Tuấn</v>
      </c>
      <c r="B27" s="5" t="s">
        <v>35</v>
      </c>
      <c r="C27" s="7">
        <v>0.05518553758</v>
      </c>
      <c r="D27" s="7">
        <v>0.04454545455</v>
      </c>
      <c r="E27" s="7">
        <v>0.04801239029</v>
      </c>
      <c r="F27" s="7">
        <v>0.02884615385</v>
      </c>
      <c r="G27" s="7">
        <v>0.04918032787</v>
      </c>
      <c r="H27" s="8">
        <f t="shared" si="1"/>
        <v>0.02033417402</v>
      </c>
      <c r="I27" s="9"/>
      <c r="J27" s="5" t="str">
        <f>IFERROR(__xludf.DUMMYFUNCTION("""COMPUTED_VALUE"""),"Lâm Xuân Vinh")</f>
        <v>Lâm Xuân Vinh</v>
      </c>
      <c r="K27" s="16" t="s">
        <v>36</v>
      </c>
      <c r="L27" s="17">
        <v>0.08143322475570032</v>
      </c>
      <c r="M27" s="17">
        <v>0.03205128205128205</v>
      </c>
      <c r="N27" s="17">
        <v>0.06134969325153374</v>
      </c>
      <c r="O27" s="17">
        <v>0.04472843450479233</v>
      </c>
      <c r="P27" s="17">
        <v>0.07058823529411765</v>
      </c>
      <c r="Q27" s="17">
        <v>0.039603960396039604</v>
      </c>
      <c r="R27" s="17">
        <v>0.07432432432432433</v>
      </c>
      <c r="S27" s="17">
        <v>0.05723905723905724</v>
      </c>
      <c r="T27" s="8">
        <f t="shared" si="2"/>
        <v>-0.01708526709</v>
      </c>
      <c r="U27" s="8">
        <f t="shared" si="3"/>
        <v>-0.02419416752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>
      <c r="A28" s="5" t="str">
        <f>IFERROR(__xludf.DUMMYFUNCTION("""COMPUTED_VALUE"""),"Lâm Xuân Vinh")</f>
        <v>Lâm Xuân Vinh</v>
      </c>
      <c r="B28" s="5" t="s">
        <v>36</v>
      </c>
      <c r="C28" s="7">
        <v>0.0527790752</v>
      </c>
      <c r="D28" s="7">
        <v>0.04646206309</v>
      </c>
      <c r="E28" s="7">
        <v>0.07843137255</v>
      </c>
      <c r="F28" s="7">
        <v>0.0564844103</v>
      </c>
      <c r="G28" s="7">
        <v>0.05723905724</v>
      </c>
      <c r="H28" s="8">
        <f t="shared" si="1"/>
        <v>0.00075464694</v>
      </c>
      <c r="I28" s="9"/>
      <c r="J28" s="5" t="str">
        <f>IFERROR(__xludf.DUMMYFUNCTION("""COMPUTED_VALUE"""),"Ngô Phan Mỹ Tú")</f>
        <v>Ngô Phan Mỹ Tú</v>
      </c>
      <c r="K28" s="16" t="s">
        <v>37</v>
      </c>
      <c r="L28" s="17">
        <v>0.04771784232365145</v>
      </c>
      <c r="M28" s="17">
        <v>0.04040404040404041</v>
      </c>
      <c r="N28" s="17">
        <v>0.04411764705882353</v>
      </c>
      <c r="O28" s="17">
        <v>0.054770318021201414</v>
      </c>
      <c r="P28" s="17">
        <v>0.030852994555353903</v>
      </c>
      <c r="Q28" s="17">
        <v>0.029982363315696647</v>
      </c>
      <c r="R28" s="17">
        <v>0.046464646464646465</v>
      </c>
      <c r="S28" s="17">
        <v>0.04020100502512563</v>
      </c>
      <c r="T28" s="8">
        <f t="shared" si="2"/>
        <v>-0.00626364144</v>
      </c>
      <c r="U28" s="8">
        <f t="shared" si="3"/>
        <v>-0.007516837299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5" t="str">
        <f>IFERROR(__xludf.DUMMYFUNCTION("""COMPUTED_VALUE"""),"Ngô Phan Mỹ Tú")</f>
        <v>Ngô Phan Mỹ Tú</v>
      </c>
      <c r="B29" s="5" t="s">
        <v>37</v>
      </c>
      <c r="C29" s="7">
        <v>0.04388349515</v>
      </c>
      <c r="D29" s="7">
        <v>0.04712566845</v>
      </c>
      <c r="E29" s="7">
        <v>0.04396984925</v>
      </c>
      <c r="F29" s="7">
        <v>0.04189189189</v>
      </c>
      <c r="G29" s="7">
        <v>0.04020100503</v>
      </c>
      <c r="H29" s="8">
        <f t="shared" si="1"/>
        <v>-0.00169088686</v>
      </c>
      <c r="I29" s="9"/>
      <c r="J29" s="5" t="str">
        <f>IFERROR(__xludf.DUMMYFUNCTION("""COMPUTED_VALUE"""),"Lê Minh Tuấn")</f>
        <v>Lê Minh Tuấn</v>
      </c>
      <c r="K29" s="16" t="s">
        <v>38</v>
      </c>
      <c r="L29" s="17">
        <v>0.05475504322766571</v>
      </c>
      <c r="M29" s="17">
        <v>0.051771117166212535</v>
      </c>
      <c r="N29" s="17">
        <v>0.09116022099447514</v>
      </c>
      <c r="O29" s="17">
        <v>0.07008086253369272</v>
      </c>
      <c r="P29" s="17">
        <v>0.0591016548463357</v>
      </c>
      <c r="Q29" s="17">
        <v>0.060109289617486336</v>
      </c>
      <c r="R29" s="17">
        <v>0.05698005698005698</v>
      </c>
      <c r="S29" s="17">
        <v>0.06397306397306397</v>
      </c>
      <c r="T29" s="8">
        <f t="shared" si="2"/>
        <v>0.006993006993</v>
      </c>
      <c r="U29" s="8">
        <f t="shared" si="3"/>
        <v>0.009218020745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5" t="str">
        <f>IFERROR(__xludf.DUMMYFUNCTION("""COMPUTED_VALUE"""),"Lê Minh Tuấn")</f>
        <v>Lê Minh Tuấn</v>
      </c>
      <c r="B30" s="5" t="s">
        <v>38</v>
      </c>
      <c r="C30" s="7">
        <v>0.06034939121</v>
      </c>
      <c r="D30" s="7">
        <v>0.06270170586</v>
      </c>
      <c r="E30" s="7">
        <v>0.06131178707</v>
      </c>
      <c r="F30" s="7">
        <v>0.06339389254</v>
      </c>
      <c r="G30" s="7">
        <v>0.06397306397</v>
      </c>
      <c r="H30" s="8">
        <f t="shared" si="1"/>
        <v>0.00057917143</v>
      </c>
      <c r="I30" s="9"/>
      <c r="J30" s="5" t="str">
        <f>IFERROR(__xludf.DUMMYFUNCTION("""COMPUTED_VALUE"""),"Nguyễn Thành Huy")</f>
        <v>Nguyễn Thành Huy</v>
      </c>
      <c r="K30" s="16" t="s">
        <v>39</v>
      </c>
      <c r="L30" s="17">
        <v>0.022222222222222223</v>
      </c>
      <c r="M30" s="17">
        <v>0.028455284552845527</v>
      </c>
      <c r="N30" s="17">
        <v>0.03861003861003861</v>
      </c>
      <c r="O30" s="17">
        <v>0.039603960396039604</v>
      </c>
      <c r="P30" s="17">
        <v>0.043478260869565216</v>
      </c>
      <c r="Q30" s="17">
        <v>0.04330708661417323</v>
      </c>
      <c r="R30" s="17">
        <v>0.042801556420233464</v>
      </c>
      <c r="S30" s="17">
        <v>0.05947955390334572</v>
      </c>
      <c r="T30" s="8">
        <f t="shared" si="2"/>
        <v>0.01667799748</v>
      </c>
      <c r="U30" s="8">
        <f t="shared" si="3"/>
        <v>0.03725733168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5" t="str">
        <f>IFERROR(__xludf.DUMMYFUNCTION("""COMPUTED_VALUE"""),"Nguyễn Thành Huy")</f>
        <v>Nguyễn Thành Huy</v>
      </c>
      <c r="B31" s="5" t="s">
        <v>39</v>
      </c>
      <c r="C31" s="7">
        <v>0.05293113261</v>
      </c>
      <c r="D31" s="7">
        <v>0.04923413567</v>
      </c>
      <c r="E31" s="7">
        <v>0.04148471616</v>
      </c>
      <c r="F31" s="7">
        <v>0.03743895822</v>
      </c>
      <c r="G31" s="7">
        <v>0.0594795539</v>
      </c>
      <c r="H31" s="8">
        <f t="shared" si="1"/>
        <v>0.02204059568</v>
      </c>
      <c r="I31" s="9"/>
      <c r="J31" s="5" t="str">
        <f>IFERROR(__xludf.DUMMYFUNCTION("""COMPUTED_VALUE"""),"Nguyễn Thành Huy")</f>
        <v>Nguyễn Thành Huy</v>
      </c>
      <c r="K31" s="16" t="s">
        <v>40</v>
      </c>
      <c r="L31" s="17">
        <v>0.022653721682847898</v>
      </c>
      <c r="M31" s="17">
        <v>0.024242424242424242</v>
      </c>
      <c r="N31" s="17">
        <v>0.040372670807453416</v>
      </c>
      <c r="O31" s="17">
        <v>0.020460358056265986</v>
      </c>
      <c r="P31" s="17">
        <v>0.025</v>
      </c>
      <c r="Q31" s="17">
        <v>0.03278688524590164</v>
      </c>
      <c r="R31" s="17">
        <v>0.03180212014134275</v>
      </c>
      <c r="S31" s="17">
        <v>0.02527075812274368</v>
      </c>
      <c r="T31" s="8">
        <f t="shared" si="2"/>
        <v>-0.006531362019</v>
      </c>
      <c r="U31" s="8">
        <f t="shared" si="3"/>
        <v>0.00261703644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>
      <c r="A32" s="5" t="str">
        <f>IFERROR(__xludf.DUMMYFUNCTION("""COMPUTED_VALUE"""),"Nguyễn Thành Huy")</f>
        <v>Nguyễn Thành Huy</v>
      </c>
      <c r="B32" s="5" t="s">
        <v>40</v>
      </c>
      <c r="C32" s="7">
        <v>0.03126436782</v>
      </c>
      <c r="D32" s="7">
        <v>0.0259391771</v>
      </c>
      <c r="E32" s="7">
        <v>0.03623898139</v>
      </c>
      <c r="F32" s="7">
        <v>0.02787610619</v>
      </c>
      <c r="G32" s="7">
        <v>0.02527075812</v>
      </c>
      <c r="H32" s="8">
        <f t="shared" si="1"/>
        <v>-0.00260534807</v>
      </c>
      <c r="I32" s="9"/>
      <c r="J32" s="5" t="str">
        <f>IFERROR(__xludf.DUMMYFUNCTION("""COMPUTED_VALUE"""),"Nguyễn Thành Huy")</f>
        <v>Nguyễn Thành Huy</v>
      </c>
      <c r="K32" s="16" t="s">
        <v>41</v>
      </c>
      <c r="L32" s="17">
        <v>0.05116279069767442</v>
      </c>
      <c r="M32" s="17">
        <v>0.03861003861003861</v>
      </c>
      <c r="N32" s="17">
        <v>0.028846153846153848</v>
      </c>
      <c r="O32" s="17">
        <v>0.049773755656108594</v>
      </c>
      <c r="P32" s="17">
        <v>0.02158273381294964</v>
      </c>
      <c r="Q32" s="17">
        <v>0.04819277108433735</v>
      </c>
      <c r="R32" s="17">
        <v>0.03056768558951965</v>
      </c>
      <c r="S32" s="17">
        <v>0.035175879396984924</v>
      </c>
      <c r="T32" s="8">
        <f t="shared" si="2"/>
        <v>0.004608193807</v>
      </c>
      <c r="U32" s="8">
        <f t="shared" si="3"/>
        <v>-0.0159869113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>
      <c r="A33" s="5" t="str">
        <f>IFERROR(__xludf.DUMMYFUNCTION("""COMPUTED_VALUE"""),"Nguyễn Thành Huy")</f>
        <v>Nguyễn Thành Huy</v>
      </c>
      <c r="B33" s="5" t="s">
        <v>41</v>
      </c>
      <c r="C33" s="7">
        <v>0.04053198227</v>
      </c>
      <c r="D33" s="7">
        <v>0.03598820059</v>
      </c>
      <c r="E33" s="7">
        <v>0.04314720812</v>
      </c>
      <c r="F33" s="7">
        <v>0.03797468354</v>
      </c>
      <c r="G33" s="7">
        <v>0.0351758794</v>
      </c>
      <c r="H33" s="8">
        <f t="shared" si="1"/>
        <v>-0.00279880414</v>
      </c>
      <c r="I33" s="9"/>
      <c r="J33" s="5" t="str">
        <f>IFERROR(__xludf.DUMMYFUNCTION("""COMPUTED_VALUE"""),"Nguyễn Thành Huy")</f>
        <v>Nguyễn Thành Huy</v>
      </c>
      <c r="K33" s="16" t="s">
        <v>42</v>
      </c>
      <c r="L33" s="17">
        <v>0.0707070707070707</v>
      </c>
      <c r="M33" s="17">
        <v>0.06060606060606061</v>
      </c>
      <c r="N33" s="17">
        <v>0.04316546762589928</v>
      </c>
      <c r="O33" s="17">
        <v>0.06620209059233449</v>
      </c>
      <c r="P33" s="17">
        <v>0.03861003861003861</v>
      </c>
      <c r="Q33" s="17">
        <v>0.04807692307692308</v>
      </c>
      <c r="R33" s="17">
        <v>0.01838235294117647</v>
      </c>
      <c r="S33" s="17">
        <v>0.045454545454545456</v>
      </c>
      <c r="T33" s="8">
        <f t="shared" si="2"/>
        <v>0.02707219251</v>
      </c>
      <c r="U33" s="8">
        <f t="shared" si="3"/>
        <v>-0.02525252525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>
      <c r="A34" s="5" t="str">
        <f>IFERROR(__xludf.DUMMYFUNCTION("""COMPUTED_VALUE"""),"Nguyễn Thành Huy")</f>
        <v>Nguyễn Thành Huy</v>
      </c>
      <c r="B34" s="5" t="s">
        <v>42</v>
      </c>
      <c r="C34" s="7">
        <v>0.05634674923</v>
      </c>
      <c r="D34" s="7">
        <v>0.06764069264</v>
      </c>
      <c r="E34" s="7">
        <v>0.09161676647</v>
      </c>
      <c r="F34" s="7">
        <v>0.04891606448</v>
      </c>
      <c r="G34" s="7">
        <v>0.04545454545</v>
      </c>
      <c r="H34" s="8">
        <f t="shared" si="1"/>
        <v>-0.00346151903</v>
      </c>
      <c r="I34" s="9"/>
      <c r="J34" s="5" t="str">
        <f>IFERROR(__xludf.DUMMYFUNCTION("""COMPUTED_VALUE"""),"Nguyễn Anh Tùng")</f>
        <v>Nguyễn Anh Tùng</v>
      </c>
      <c r="K34" s="16" t="s">
        <v>43</v>
      </c>
      <c r="L34" s="17">
        <v>0.06976744186046512</v>
      </c>
      <c r="M34" s="17">
        <v>0.06912442396313365</v>
      </c>
      <c r="N34" s="17">
        <v>0.07894736842105263</v>
      </c>
      <c r="O34" s="17">
        <v>0.08839779005524862</v>
      </c>
      <c r="P34" s="17">
        <v>0.043243243243243246</v>
      </c>
      <c r="Q34" s="17">
        <v>0.027522935779816515</v>
      </c>
      <c r="R34" s="17">
        <v>0.07643312101910828</v>
      </c>
      <c r="S34" s="17">
        <v>0.06532663316582915</v>
      </c>
      <c r="T34" s="8">
        <f t="shared" si="2"/>
        <v>-0.01110648785</v>
      </c>
      <c r="U34" s="8">
        <f t="shared" si="3"/>
        <v>-0.004440808695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>
      <c r="A35" s="5" t="str">
        <f>IFERROR(__xludf.DUMMYFUNCTION("""COMPUTED_VALUE"""),"Nguyễn Anh Tùng")</f>
        <v>Nguyễn Anh Tùng</v>
      </c>
      <c r="B35" s="5" t="s">
        <v>43</v>
      </c>
      <c r="C35" s="7">
        <v>0.03534956795</v>
      </c>
      <c r="D35" s="7">
        <v>0.03959044369</v>
      </c>
      <c r="E35" s="7">
        <v>0.03843466108</v>
      </c>
      <c r="F35" s="7">
        <v>0.06382978723</v>
      </c>
      <c r="G35" s="7">
        <v>0.06532663317</v>
      </c>
      <c r="H35" s="8">
        <f t="shared" si="1"/>
        <v>0.00149684594</v>
      </c>
      <c r="I35" s="9"/>
      <c r="J35" s="5" t="str">
        <f>IFERROR(__xludf.DUMMYFUNCTION("""COMPUTED_VALUE"""),"Huỳnh Phương Duy")</f>
        <v>Huỳnh Phương Duy</v>
      </c>
      <c r="K35" s="16" t="s">
        <v>44</v>
      </c>
      <c r="L35" s="17">
        <v>0.058823529411764705</v>
      </c>
      <c r="M35" s="17">
        <v>0.05113636363636364</v>
      </c>
      <c r="N35" s="17">
        <v>0.056716417910447764</v>
      </c>
      <c r="O35" s="17">
        <v>0.0463768115942029</v>
      </c>
      <c r="P35" s="17">
        <v>0.07236842105263158</v>
      </c>
      <c r="Q35" s="17">
        <v>0.05084745762711865</v>
      </c>
      <c r="R35" s="17">
        <v>0.04833836858006042</v>
      </c>
      <c r="S35" s="17">
        <v>0.08038585209003216</v>
      </c>
      <c r="T35" s="8">
        <f t="shared" si="2"/>
        <v>0.03204748351</v>
      </c>
      <c r="U35" s="8">
        <f t="shared" si="3"/>
        <v>0.02156232268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5" t="str">
        <f>IFERROR(__xludf.DUMMYFUNCTION("""COMPUTED_VALUE"""),"Huỳnh Phương Duy")</f>
        <v>Huỳnh Phương Duy</v>
      </c>
      <c r="B36" s="5" t="s">
        <v>44</v>
      </c>
      <c r="C36" s="7">
        <v>0.05002501251</v>
      </c>
      <c r="D36" s="7">
        <v>0.0528356762</v>
      </c>
      <c r="E36" s="7">
        <v>0.05329949239</v>
      </c>
      <c r="F36" s="7">
        <v>0.05463786531</v>
      </c>
      <c r="G36" s="7">
        <v>0.08038585209</v>
      </c>
      <c r="H36" s="8">
        <f t="shared" si="1"/>
        <v>0.02574798678</v>
      </c>
      <c r="I36" s="9"/>
      <c r="J36" s="5" t="str">
        <f>IFERROR(__xludf.DUMMYFUNCTION("""COMPUTED_VALUE"""),"Nguyễn Anh Tùng")</f>
        <v>Nguyễn Anh Tùng</v>
      </c>
      <c r="K36" s="16" t="s">
        <v>45</v>
      </c>
      <c r="L36" s="17">
        <v>0.0944055944055944</v>
      </c>
      <c r="M36" s="17">
        <v>0.08794788273615635</v>
      </c>
      <c r="N36" s="17">
        <v>0.06143344709897611</v>
      </c>
      <c r="O36" s="17">
        <v>0.060240963855421686</v>
      </c>
      <c r="P36" s="17">
        <v>0.11935483870967742</v>
      </c>
      <c r="Q36" s="17">
        <v>0.05982905982905983</v>
      </c>
      <c r="R36" s="17">
        <v>0.06802721088435375</v>
      </c>
      <c r="S36" s="17">
        <v>0.07239819004524888</v>
      </c>
      <c r="T36" s="8">
        <f t="shared" si="2"/>
        <v>0.004370979161</v>
      </c>
      <c r="U36" s="8">
        <f t="shared" si="3"/>
        <v>-0.02200740436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>
      <c r="A37" s="5" t="str">
        <f>IFERROR(__xludf.DUMMYFUNCTION("""COMPUTED_VALUE"""),"Nguyễn Anh Tùng")</f>
        <v>Nguyễn Anh Tùng</v>
      </c>
      <c r="B37" s="5" t="s">
        <v>45</v>
      </c>
      <c r="C37" s="7">
        <v>0.05413105413</v>
      </c>
      <c r="D37" s="7">
        <v>0.04957436154</v>
      </c>
      <c r="E37" s="7">
        <v>0.07203842049</v>
      </c>
      <c r="F37" s="7">
        <v>0.07928015564</v>
      </c>
      <c r="G37" s="7">
        <v>0.07239819005</v>
      </c>
      <c r="H37" s="8">
        <f t="shared" si="1"/>
        <v>-0.00688196559</v>
      </c>
      <c r="I37" s="9"/>
      <c r="J37" s="5" t="str">
        <f>IFERROR(__xludf.DUMMYFUNCTION("""COMPUTED_VALUE"""),"Lê Minh Tuấn")</f>
        <v>Lê Minh Tuấn</v>
      </c>
      <c r="K37" s="16" t="s">
        <v>46</v>
      </c>
      <c r="L37" s="17">
        <v>0.021551724137931036</v>
      </c>
      <c r="M37" s="17">
        <v>0.028328611898016998</v>
      </c>
      <c r="N37" s="17">
        <v>0.031545741324921134</v>
      </c>
      <c r="O37" s="17">
        <v>0.04105571847507331</v>
      </c>
      <c r="P37" s="17">
        <v>0.023076923076923078</v>
      </c>
      <c r="Q37" s="17">
        <v>0.046012269938650305</v>
      </c>
      <c r="R37" s="17">
        <v>0.06818181818181818</v>
      </c>
      <c r="S37" s="17">
        <v>0.034220532319391636</v>
      </c>
      <c r="T37" s="8">
        <f t="shared" si="2"/>
        <v>-0.03396128586</v>
      </c>
      <c r="U37" s="8">
        <f t="shared" si="3"/>
        <v>0.01266880818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>
      <c r="A38" s="5" t="str">
        <f>IFERROR(__xludf.DUMMYFUNCTION("""COMPUTED_VALUE"""),"Lê Minh Tuấn")</f>
        <v>Lê Minh Tuấn</v>
      </c>
      <c r="B38" s="5" t="s">
        <v>46</v>
      </c>
      <c r="C38" s="7">
        <v>0.03716904277</v>
      </c>
      <c r="D38" s="7">
        <v>0.04120645709</v>
      </c>
      <c r="E38" s="7">
        <v>0.0347082495</v>
      </c>
      <c r="F38" s="7">
        <v>0.0370533745</v>
      </c>
      <c r="G38" s="7">
        <v>0.03422053232</v>
      </c>
      <c r="H38" s="8">
        <f t="shared" si="1"/>
        <v>-0.00283284218</v>
      </c>
      <c r="I38" s="9"/>
      <c r="J38" s="5" t="str">
        <f>IFERROR(__xludf.DUMMYFUNCTION("""COMPUTED_VALUE"""),"Huỳnh Phương Duy")</f>
        <v>Huỳnh Phương Duy</v>
      </c>
      <c r="K38" s="16" t="s">
        <v>47</v>
      </c>
      <c r="L38" s="17">
        <v>0.031088082901554404</v>
      </c>
      <c r="M38" s="17">
        <v>0.0391304347826087</v>
      </c>
      <c r="N38" s="17">
        <v>0.0213903743315508</v>
      </c>
      <c r="O38" s="17">
        <v>0.014563106796116505</v>
      </c>
      <c r="P38" s="17">
        <v>0.03260869565217391</v>
      </c>
      <c r="Q38" s="17">
        <v>0.02072538860103627</v>
      </c>
      <c r="R38" s="17">
        <v>0.02197802197802198</v>
      </c>
      <c r="S38" s="17">
        <v>0.029585798816568046</v>
      </c>
      <c r="T38" s="8">
        <f t="shared" si="2"/>
        <v>0.007607776839</v>
      </c>
      <c r="U38" s="8">
        <f t="shared" si="3"/>
        <v>-0.001502284085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5" t="str">
        <f>IFERROR(__xludf.DUMMYFUNCTION("""COMPUTED_VALUE"""),"Huỳnh Phương Duy")</f>
        <v>Huỳnh Phương Duy</v>
      </c>
      <c r="B39" s="5" t="s">
        <v>47</v>
      </c>
      <c r="C39" s="7">
        <v>0.03611349957</v>
      </c>
      <c r="D39" s="7">
        <v>0.03231017771</v>
      </c>
      <c r="E39" s="7">
        <v>0.03644067797</v>
      </c>
      <c r="F39" s="7">
        <v>0.02618181818</v>
      </c>
      <c r="G39" s="7">
        <v>0.02958579882</v>
      </c>
      <c r="H39" s="8">
        <f t="shared" si="1"/>
        <v>0.00340398064</v>
      </c>
      <c r="I39" s="9"/>
      <c r="J39" s="5" t="str">
        <f>IFERROR(__xludf.DUMMYFUNCTION("""COMPUTED_VALUE"""),"Nguyễn Việt Tới")</f>
        <v>Nguyễn Việt Tới</v>
      </c>
      <c r="K39" s="16" t="s">
        <v>48</v>
      </c>
      <c r="L39" s="17">
        <v>0.0449438202247191</v>
      </c>
      <c r="M39" s="17">
        <v>0.06611570247933884</v>
      </c>
      <c r="N39" s="17">
        <v>0.07023411371237458</v>
      </c>
      <c r="O39" s="17">
        <v>0.06965174129353234</v>
      </c>
      <c r="P39" s="17">
        <v>0.04868913857677903</v>
      </c>
      <c r="Q39" s="17">
        <v>0.07507507507507508</v>
      </c>
      <c r="R39" s="17">
        <v>0.0763888888888889</v>
      </c>
      <c r="S39" s="17">
        <v>0.06521739130434782</v>
      </c>
      <c r="T39" s="8">
        <f t="shared" si="2"/>
        <v>-0.01117149758</v>
      </c>
      <c r="U39" s="8">
        <f t="shared" si="3"/>
        <v>0.02027357108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>
      <c r="A40" s="5" t="str">
        <f>IFERROR(__xludf.DUMMYFUNCTION("""COMPUTED_VALUE"""),"Nguyễn Việt Tới")</f>
        <v>Nguyễn Việt Tới</v>
      </c>
      <c r="B40" s="5" t="s">
        <v>48</v>
      </c>
      <c r="C40" s="7">
        <v>0.06593406593</v>
      </c>
      <c r="D40" s="7">
        <v>0.06515737162</v>
      </c>
      <c r="E40" s="7">
        <v>0.06358381503</v>
      </c>
      <c r="F40" s="7">
        <v>0.06483921982</v>
      </c>
      <c r="G40" s="7">
        <v>0.0652173913</v>
      </c>
      <c r="H40" s="8">
        <f t="shared" si="1"/>
        <v>0.00037817148</v>
      </c>
      <c r="I40" s="9"/>
      <c r="J40" s="5" t="str">
        <f>IFERROR(__xludf.DUMMYFUNCTION("""COMPUTED_VALUE"""),"Lâm Xuân Vinh")</f>
        <v>Lâm Xuân Vinh</v>
      </c>
      <c r="K40" s="16" t="s">
        <v>49</v>
      </c>
      <c r="L40" s="17">
        <v>0.03755868544600939</v>
      </c>
      <c r="M40" s="17">
        <v>0.046153846153846156</v>
      </c>
      <c r="N40" s="17">
        <v>0.012738853503184714</v>
      </c>
      <c r="O40" s="17">
        <v>0.01020408163265306</v>
      </c>
      <c r="P40" s="17">
        <v>0.07179487179487179</v>
      </c>
      <c r="Q40" s="17">
        <v>0.04242424242424243</v>
      </c>
      <c r="R40" s="17">
        <v>0.052884615384615384</v>
      </c>
      <c r="S40" s="17">
        <v>0.045454545454545456</v>
      </c>
      <c r="T40" s="8">
        <f t="shared" si="2"/>
        <v>-0.00743006993</v>
      </c>
      <c r="U40" s="8">
        <f t="shared" si="3"/>
        <v>0.007895860009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>
      <c r="A41" s="5" t="str">
        <f>IFERROR(__xludf.DUMMYFUNCTION("""COMPUTED_VALUE"""),"Lâm Xuân Vinh")</f>
        <v>Lâm Xuân Vinh</v>
      </c>
      <c r="B41" s="5" t="s">
        <v>49</v>
      </c>
      <c r="C41" s="7">
        <v>0.03992395437</v>
      </c>
      <c r="D41" s="7">
        <v>0.04374453193</v>
      </c>
      <c r="E41" s="7">
        <v>0.03807796917</v>
      </c>
      <c r="F41" s="7">
        <v>0.03987960873</v>
      </c>
      <c r="G41" s="7">
        <v>0.04545454545</v>
      </c>
      <c r="H41" s="8">
        <f t="shared" si="1"/>
        <v>0.00557493672</v>
      </c>
      <c r="I41" s="9"/>
      <c r="J41" s="5" t="str">
        <f>IFERROR(__xludf.DUMMYFUNCTION("""COMPUTED_VALUE"""),"Nguyễn Tuấn Anh")</f>
        <v>Nguyễn Tuấn Anh</v>
      </c>
      <c r="K41" s="16" t="s">
        <v>50</v>
      </c>
      <c r="L41" s="17">
        <v>0.07627118644067797</v>
      </c>
      <c r="M41" s="17">
        <v>0.04938271604938271</v>
      </c>
      <c r="N41" s="17">
        <v>0.0379746835443038</v>
      </c>
      <c r="O41" s="17">
        <v>0.04291845493562232</v>
      </c>
      <c r="P41" s="17">
        <v>0.06614785992217899</v>
      </c>
      <c r="Q41" s="17">
        <v>0.046762589928057555</v>
      </c>
      <c r="R41" s="17">
        <v>0.11627906976744186</v>
      </c>
      <c r="S41" s="17">
        <v>0.05627705627705628</v>
      </c>
      <c r="T41" s="8">
        <f t="shared" si="2"/>
        <v>-0.06000201349</v>
      </c>
      <c r="U41" s="8">
        <f t="shared" si="3"/>
        <v>-0.01999413016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>
      <c r="A42" s="5" t="str">
        <f>IFERROR(__xludf.DUMMYFUNCTION("""COMPUTED_VALUE"""),"Nguyễn Tuấn Anh")</f>
        <v>Nguyễn Tuấn Anh</v>
      </c>
      <c r="B42" s="5" t="s">
        <v>50</v>
      </c>
      <c r="C42" s="7">
        <v>0.07167832168</v>
      </c>
      <c r="D42" s="7">
        <v>0.05108940646</v>
      </c>
      <c r="E42" s="7">
        <v>0.04399212081</v>
      </c>
      <c r="F42" s="7">
        <v>0.06121247793</v>
      </c>
      <c r="G42" s="7">
        <v>0.05627705628</v>
      </c>
      <c r="H42" s="8">
        <f t="shared" si="1"/>
        <v>-0.00493542165</v>
      </c>
      <c r="I42" s="9"/>
      <c r="J42" s="5" t="str">
        <f>IFERROR(__xludf.DUMMYFUNCTION("""COMPUTED_VALUE"""),"Ngô Phan Mỹ Tú")</f>
        <v>Ngô Phan Mỹ Tú</v>
      </c>
      <c r="K42" s="16" t="s">
        <v>51</v>
      </c>
      <c r="L42" s="17">
        <v>0.04498269896193772</v>
      </c>
      <c r="M42" s="17">
        <v>0.04745762711864407</v>
      </c>
      <c r="N42" s="17">
        <v>0.06060606060606061</v>
      </c>
      <c r="O42" s="17">
        <v>0.01592356687898089</v>
      </c>
      <c r="P42" s="17">
        <v>0.05263157894736842</v>
      </c>
      <c r="Q42" s="17">
        <v>0.05325443786982249</v>
      </c>
      <c r="R42" s="17">
        <v>0.06312292358803986</v>
      </c>
      <c r="S42" s="17">
        <v>0.0379746835443038</v>
      </c>
      <c r="T42" s="8">
        <f t="shared" si="2"/>
        <v>-0.02514824004</v>
      </c>
      <c r="U42" s="8">
        <f t="shared" si="3"/>
        <v>-0.007008015418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>
      <c r="A43" s="5" t="str">
        <f>IFERROR(__xludf.DUMMYFUNCTION("""COMPUTED_VALUE"""),"Ngô Phan Mỹ Tú")</f>
        <v>Ngô Phan Mỹ Tú</v>
      </c>
      <c r="B43" s="5" t="s">
        <v>51</v>
      </c>
      <c r="C43" s="7">
        <v>0.04300423985</v>
      </c>
      <c r="D43" s="7">
        <v>0.04238618524</v>
      </c>
      <c r="E43" s="7">
        <v>0.04223227753</v>
      </c>
      <c r="F43" s="7">
        <v>0.04847396768</v>
      </c>
      <c r="G43" s="7">
        <v>0.03797468354</v>
      </c>
      <c r="H43" s="8">
        <f t="shared" si="1"/>
        <v>-0.01049928414</v>
      </c>
      <c r="I43" s="9"/>
      <c r="J43" s="5" t="str">
        <f>IFERROR(__xludf.DUMMYFUNCTION("""COMPUTED_VALUE"""),"Lê Minh Tuấn")</f>
        <v>Lê Minh Tuấn</v>
      </c>
      <c r="K43" s="16" t="s">
        <v>52</v>
      </c>
      <c r="L43" s="17">
        <v>0.05755395683453238</v>
      </c>
      <c r="M43" s="17">
        <v>0.02654867256637168</v>
      </c>
      <c r="N43" s="17">
        <v>0.06688963210702341</v>
      </c>
      <c r="O43" s="17">
        <v>0.02346041055718475</v>
      </c>
      <c r="P43" s="17">
        <v>0.027624309392265192</v>
      </c>
      <c r="Q43" s="17">
        <v>0.046511627906976744</v>
      </c>
      <c r="R43" s="17">
        <v>0.045454545454545456</v>
      </c>
      <c r="S43" s="17">
        <v>0.04296875</v>
      </c>
      <c r="T43" s="8">
        <f t="shared" si="2"/>
        <v>-0.002485795455</v>
      </c>
      <c r="U43" s="8">
        <f t="shared" si="3"/>
        <v>-0.01458520683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>
      <c r="A44" s="5" t="str">
        <f>IFERROR(__xludf.DUMMYFUNCTION("""COMPUTED_VALUE"""),"Lê Minh Tuấn")</f>
        <v>Lê Minh Tuấn</v>
      </c>
      <c r="B44" s="5" t="s">
        <v>52</v>
      </c>
      <c r="C44" s="7">
        <v>0.03698435277</v>
      </c>
      <c r="D44" s="7">
        <v>0.0387254902</v>
      </c>
      <c r="E44" s="7">
        <v>0.04851625059</v>
      </c>
      <c r="F44" s="7">
        <v>0.04077933847</v>
      </c>
      <c r="G44" s="7">
        <v>0.04296875</v>
      </c>
      <c r="H44" s="8">
        <f t="shared" si="1"/>
        <v>0.00218941153</v>
      </c>
      <c r="I44" s="9"/>
      <c r="J44" s="5" t="str">
        <f>IFERROR(__xludf.DUMMYFUNCTION("""COMPUTED_VALUE"""),"Nguyễn Anh Tùng")</f>
        <v>Nguyễn Anh Tùng</v>
      </c>
      <c r="K44" s="16" t="s">
        <v>53</v>
      </c>
      <c r="L44" s="17">
        <v>0.06227106227106227</v>
      </c>
      <c r="M44" s="17">
        <v>0.06172839506172839</v>
      </c>
      <c r="N44" s="17">
        <v>0.048672566371681415</v>
      </c>
      <c r="O44" s="17">
        <v>0.04417670682730924</v>
      </c>
      <c r="P44" s="17">
        <v>0.038910505836575876</v>
      </c>
      <c r="Q44" s="17">
        <v>0.03669724770642202</v>
      </c>
      <c r="R44" s="17">
        <v>0.06043956043956044</v>
      </c>
      <c r="S44" s="17">
        <v>0.04938271604938271</v>
      </c>
      <c r="T44" s="8">
        <f t="shared" si="2"/>
        <v>-0.01105684439</v>
      </c>
      <c r="U44" s="8">
        <f t="shared" si="3"/>
        <v>-0.01288834622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>
      <c r="A45" s="5" t="str">
        <f>IFERROR(__xludf.DUMMYFUNCTION("""COMPUTED_VALUE"""),"Nguyễn Anh Tùng")</f>
        <v>Nguyễn Anh Tùng</v>
      </c>
      <c r="B45" s="5" t="s">
        <v>53</v>
      </c>
      <c r="C45" s="7">
        <v>0.03448275862</v>
      </c>
      <c r="D45" s="7">
        <v>0.05971830986</v>
      </c>
      <c r="E45" s="7">
        <v>0.06093189964</v>
      </c>
      <c r="F45" s="7">
        <v>0.05036407767</v>
      </c>
      <c r="G45" s="7">
        <v>0.04938271605</v>
      </c>
      <c r="H45" s="8">
        <f t="shared" si="1"/>
        <v>-0.00098136162</v>
      </c>
      <c r="I45" s="9"/>
      <c r="J45" s="5" t="str">
        <f>IFERROR(__xludf.DUMMYFUNCTION("""COMPUTED_VALUE"""),"Huỳnh Phương Duy")</f>
        <v>Huỳnh Phương Duy</v>
      </c>
      <c r="K45" s="16" t="s">
        <v>54</v>
      </c>
      <c r="L45" s="17">
        <v>0.08333333333333333</v>
      </c>
      <c r="M45" s="17">
        <v>0.029850746268656716</v>
      </c>
      <c r="N45" s="17">
        <v>0.07432432432432433</v>
      </c>
      <c r="O45" s="17">
        <v>0.0176678445229682</v>
      </c>
      <c r="P45" s="17">
        <v>0.024390243902439025</v>
      </c>
      <c r="Q45" s="17">
        <v>0.03305785123966942</v>
      </c>
      <c r="R45" s="17">
        <v>0.06060606060606061</v>
      </c>
      <c r="S45" s="17">
        <v>0.19672131147540983</v>
      </c>
      <c r="T45" s="8">
        <f t="shared" si="2"/>
        <v>0.1361152509</v>
      </c>
      <c r="U45" s="8">
        <f t="shared" si="3"/>
        <v>0.1133879781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>
      <c r="A46" s="5" t="str">
        <f>IFERROR(__xludf.DUMMYFUNCTION("""COMPUTED_VALUE"""),"Huỳnh Phương Duy")</f>
        <v>Huỳnh Phương Duy</v>
      </c>
      <c r="B46" s="5" t="s">
        <v>54</v>
      </c>
      <c r="C46" s="7">
        <v>0.03043022036</v>
      </c>
      <c r="D46" s="7">
        <v>0.03959390863</v>
      </c>
      <c r="E46" s="7">
        <v>0.03130929791</v>
      </c>
      <c r="F46" s="7">
        <v>0.04010025063</v>
      </c>
      <c r="G46" s="7">
        <v>0.1967213115</v>
      </c>
      <c r="H46" s="8">
        <f t="shared" si="1"/>
        <v>0.1566210609</v>
      </c>
      <c r="I46" s="9"/>
      <c r="J46" s="5" t="str">
        <f>IFERROR(__xludf.DUMMYFUNCTION("""COMPUTED_VALUE"""),"Huỳnh Phương Duy")</f>
        <v>Huỳnh Phương Duy</v>
      </c>
      <c r="K46" s="16" t="s">
        <v>55</v>
      </c>
      <c r="L46" s="17">
        <v>0.025510204081632654</v>
      </c>
      <c r="M46" s="17">
        <v>0.037914691943127965</v>
      </c>
      <c r="N46" s="17">
        <v>0.03864734299516908</v>
      </c>
      <c r="O46" s="17">
        <v>0.028925619834710745</v>
      </c>
      <c r="P46" s="17">
        <v>0.03783783783783784</v>
      </c>
      <c r="Q46" s="17">
        <v>0.0427807486631016</v>
      </c>
      <c r="R46" s="17">
        <v>0.05612244897959184</v>
      </c>
      <c r="S46" s="17">
        <v>0.04419889502762431</v>
      </c>
      <c r="T46" s="8">
        <f t="shared" si="2"/>
        <v>-0.01192355395</v>
      </c>
      <c r="U46" s="8">
        <f t="shared" si="3"/>
        <v>0.01868869095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>
      <c r="A47" s="5" t="str">
        <f>IFERROR(__xludf.DUMMYFUNCTION("""COMPUTED_VALUE"""),"Huỳnh Phương Duy")</f>
        <v>Huỳnh Phương Duy</v>
      </c>
      <c r="B47" s="5" t="s">
        <v>55</v>
      </c>
      <c r="C47" s="7">
        <v>0.04866180049</v>
      </c>
      <c r="D47" s="7">
        <v>0.03993855607</v>
      </c>
      <c r="E47" s="7">
        <v>0.05216693419</v>
      </c>
      <c r="F47" s="7">
        <v>0.03792134831</v>
      </c>
      <c r="G47" s="7">
        <v>0.04419889503</v>
      </c>
      <c r="H47" s="8">
        <f t="shared" si="1"/>
        <v>0.00627754672</v>
      </c>
      <c r="I47" s="9"/>
      <c r="J47" s="5" t="str">
        <f>IFERROR(__xludf.DUMMYFUNCTION("""COMPUTED_VALUE"""),"Lâm Xuân Vinh")</f>
        <v>Lâm Xuân Vinh</v>
      </c>
      <c r="K47" s="16" t="s">
        <v>56</v>
      </c>
      <c r="L47" s="17">
        <v>0.03910614525139665</v>
      </c>
      <c r="M47" s="17">
        <v>0.06372549019607843</v>
      </c>
      <c r="N47" s="17">
        <v>0.03286384976525822</v>
      </c>
      <c r="O47" s="17">
        <v>0.02</v>
      </c>
      <c r="P47" s="17">
        <v>0.03389830508474576</v>
      </c>
      <c r="Q47" s="17">
        <v>0.03319502074688797</v>
      </c>
      <c r="R47" s="17">
        <v>0.026200873362445413</v>
      </c>
      <c r="S47" s="17">
        <v>0.03333333333333333</v>
      </c>
      <c r="T47" s="8">
        <f t="shared" si="2"/>
        <v>0.007132459971</v>
      </c>
      <c r="U47" s="8">
        <f t="shared" si="3"/>
        <v>-0.005772811918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>
      <c r="A48" s="5" t="str">
        <f>IFERROR(__xludf.DUMMYFUNCTION("""COMPUTED_VALUE"""),"Lâm Xuân Vinh")</f>
        <v>Lâm Xuân Vinh</v>
      </c>
      <c r="B48" s="5" t="s">
        <v>56</v>
      </c>
      <c r="C48" s="7">
        <v>0.03671071953</v>
      </c>
      <c r="D48" s="7">
        <v>0.03232758621</v>
      </c>
      <c r="E48" s="7">
        <v>0.04351032448</v>
      </c>
      <c r="F48" s="7">
        <v>0.03479381443</v>
      </c>
      <c r="G48" s="7">
        <v>0.03333333333</v>
      </c>
      <c r="H48" s="8">
        <f t="shared" si="1"/>
        <v>-0.0014604811</v>
      </c>
      <c r="I48" s="9"/>
      <c r="J48" s="5" t="str">
        <f>IFERROR(__xludf.DUMMYFUNCTION("""COMPUTED_VALUE"""),"Lý Quài Nhân")</f>
        <v>Lý Quài Nhân</v>
      </c>
      <c r="K48" s="16" t="s">
        <v>57</v>
      </c>
      <c r="L48" s="17">
        <v>0.07650273224043716</v>
      </c>
      <c r="M48" s="17">
        <v>0.03664921465968586</v>
      </c>
      <c r="N48" s="17">
        <v>0.04697986577181208</v>
      </c>
      <c r="O48" s="17">
        <v>0.04477611940298507</v>
      </c>
      <c r="P48" s="17">
        <v>0.07801418439716312</v>
      </c>
      <c r="Q48" s="17">
        <v>0.04205607476635514</v>
      </c>
      <c r="R48" s="17">
        <v>0.06622516556291391</v>
      </c>
      <c r="S48" s="17">
        <v>0.09166666666666666</v>
      </c>
      <c r="T48" s="8">
        <f t="shared" si="2"/>
        <v>0.0254415011</v>
      </c>
      <c r="U48" s="8">
        <f t="shared" si="3"/>
        <v>0.01516393443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>
      <c r="A49" s="5" t="str">
        <f>IFERROR(__xludf.DUMMYFUNCTION("""COMPUTED_VALUE"""),"Lý Quài Nhân")</f>
        <v>Lý Quài Nhân</v>
      </c>
      <c r="B49" s="5" t="s">
        <v>57</v>
      </c>
      <c r="C49" s="7">
        <v>0.07623318386</v>
      </c>
      <c r="D49" s="7">
        <v>0.05339366516</v>
      </c>
      <c r="E49" s="7">
        <v>0.06179286336</v>
      </c>
      <c r="F49" s="7">
        <v>0.05447154472</v>
      </c>
      <c r="G49" s="7">
        <v>0.09166666667</v>
      </c>
      <c r="H49" s="8">
        <f t="shared" si="1"/>
        <v>0.03719512195</v>
      </c>
      <c r="I49" s="9"/>
      <c r="J49" s="5" t="str">
        <f>IFERROR(__xludf.DUMMYFUNCTION("""COMPUTED_VALUE"""),"Đoàn Công Tín")</f>
        <v>Đoàn Công Tín</v>
      </c>
      <c r="K49" s="16" t="s">
        <v>58</v>
      </c>
      <c r="L49" s="17">
        <v>0.11421319796954314</v>
      </c>
      <c r="M49" s="17">
        <v>0.09418282548476455</v>
      </c>
      <c r="N49" s="17">
        <v>0.09135802469135802</v>
      </c>
      <c r="O49" s="17">
        <v>0.05714285714285714</v>
      </c>
      <c r="P49" s="17">
        <v>0.10743801652892562</v>
      </c>
      <c r="Q49" s="17">
        <v>0.10826210826210826</v>
      </c>
      <c r="R49" s="17">
        <v>0.29430379746835444</v>
      </c>
      <c r="S49" s="17">
        <v>0.12244897959183673</v>
      </c>
      <c r="T49" s="8">
        <f t="shared" si="2"/>
        <v>-0.1718548179</v>
      </c>
      <c r="U49" s="8">
        <f t="shared" si="3"/>
        <v>0.008235781622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>
      <c r="A50" s="5" t="str">
        <f>IFERROR(__xludf.DUMMYFUNCTION("""COMPUTED_VALUE"""),"Đoàn Công Tín")</f>
        <v>Đoàn Công Tín</v>
      </c>
      <c r="B50" s="5" t="s">
        <v>58</v>
      </c>
      <c r="C50" s="7">
        <v>0.1237585943</v>
      </c>
      <c r="D50" s="7">
        <v>0.1023423423</v>
      </c>
      <c r="E50" s="7">
        <v>0.0891964629</v>
      </c>
      <c r="F50" s="7">
        <v>0.1196116505</v>
      </c>
      <c r="G50" s="7">
        <v>0.1224489796</v>
      </c>
      <c r="H50" s="8">
        <f t="shared" si="1"/>
        <v>0.0028373291</v>
      </c>
      <c r="I50" s="9"/>
      <c r="J50" s="5" t="str">
        <f>IFERROR(__xludf.DUMMYFUNCTION("""COMPUTED_VALUE"""),"Nguyễn Tuấn Anh")</f>
        <v>Nguyễn Tuấn Anh</v>
      </c>
      <c r="K50" s="16" t="s">
        <v>59</v>
      </c>
      <c r="L50" s="18"/>
      <c r="M50" s="18"/>
      <c r="N50" s="17">
        <v>0.16666666666666666</v>
      </c>
      <c r="O50" s="17">
        <v>0.08620689655172414</v>
      </c>
      <c r="P50" s="17">
        <v>0.22807017543859648</v>
      </c>
      <c r="Q50" s="17">
        <v>0.13846153846153847</v>
      </c>
      <c r="R50" s="17">
        <v>0.05056179775280899</v>
      </c>
      <c r="S50" s="17">
        <v>0.07228915662650602</v>
      </c>
      <c r="T50" s="8">
        <f t="shared" si="2"/>
        <v>0.02172735887</v>
      </c>
      <c r="U50" s="8">
        <f t="shared" si="3"/>
        <v>0.07228915663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>
      <c r="A51" s="5" t="str">
        <f>IFERROR(__xludf.DUMMYFUNCTION("""COMPUTED_VALUE"""),"Nguyễn Tuấn Anh")</f>
        <v>Nguyễn Tuấn Anh</v>
      </c>
      <c r="B51" s="5" t="s">
        <v>59</v>
      </c>
      <c r="C51" s="7"/>
      <c r="D51" s="7"/>
      <c r="E51" s="7"/>
      <c r="F51" s="7">
        <v>0.108045977</v>
      </c>
      <c r="G51" s="7">
        <v>0.07228915663</v>
      </c>
      <c r="H51" s="8">
        <f t="shared" si="1"/>
        <v>-0.03575682037</v>
      </c>
      <c r="I51" s="9"/>
      <c r="J51" s="5" t="str">
        <f>IFERROR(__xludf.DUMMYFUNCTION("""COMPUTED_VALUE"""),"Nguyễn Tuấn Anh")</f>
        <v>Nguyễn Tuấn Anh</v>
      </c>
      <c r="K51" s="16" t="s">
        <v>60</v>
      </c>
      <c r="L51" s="17">
        <v>0.04296875</v>
      </c>
      <c r="M51" s="17">
        <v>0.034129692832764506</v>
      </c>
      <c r="N51" s="17">
        <v>0.012461059190031152</v>
      </c>
      <c r="O51" s="17">
        <v>0.045454545454545456</v>
      </c>
      <c r="P51" s="17">
        <v>0.02348993288590604</v>
      </c>
      <c r="Q51" s="17">
        <v>0.03942652329749104</v>
      </c>
      <c r="R51" s="17">
        <v>0.037914691943127965</v>
      </c>
      <c r="S51" s="17">
        <v>0.009554140127388535</v>
      </c>
      <c r="T51" s="8">
        <f t="shared" si="2"/>
        <v>-0.02836055182</v>
      </c>
      <c r="U51" s="8">
        <f t="shared" si="3"/>
        <v>-0.03341460987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>
      <c r="A52" s="5" t="str">
        <f>IFERROR(__xludf.DUMMYFUNCTION("""COMPUTED_VALUE"""),"Nguyễn Tuấn Anh")</f>
        <v>Nguyễn Tuấn Anh</v>
      </c>
      <c r="B52" s="5" t="s">
        <v>60</v>
      </c>
      <c r="C52" s="7">
        <v>0.04713375796</v>
      </c>
      <c r="D52" s="7">
        <v>0.04891304348</v>
      </c>
      <c r="E52" s="7">
        <v>0.05510907003</v>
      </c>
      <c r="F52" s="7">
        <v>0.03263157895</v>
      </c>
      <c r="G52" s="7">
        <v>0.009554140127</v>
      </c>
      <c r="H52" s="8">
        <f t="shared" si="1"/>
        <v>-0.02307743882</v>
      </c>
      <c r="I52" s="9"/>
      <c r="J52" s="5" t="str">
        <f>IFERROR(__xludf.DUMMYFUNCTION("""COMPUTED_VALUE"""),"Lý Quài Nhân")</f>
        <v>Lý Quài Nhân</v>
      </c>
      <c r="K52" s="16" t="s">
        <v>61</v>
      </c>
      <c r="L52" s="17">
        <v>0.09433962264150944</v>
      </c>
      <c r="M52" s="17">
        <v>0.03597122302158273</v>
      </c>
      <c r="N52" s="17">
        <v>0.11242603550295859</v>
      </c>
      <c r="O52" s="17">
        <v>0.050314465408805034</v>
      </c>
      <c r="P52" s="17">
        <v>0.07894736842105263</v>
      </c>
      <c r="Q52" s="17">
        <v>0.07333333333333333</v>
      </c>
      <c r="R52" s="17">
        <v>0.06951871657754011</v>
      </c>
      <c r="S52" s="17">
        <v>0.1103448275862069</v>
      </c>
      <c r="T52" s="8">
        <f t="shared" si="2"/>
        <v>0.04082611101</v>
      </c>
      <c r="U52" s="8">
        <f t="shared" si="3"/>
        <v>0.01600520494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>
      <c r="A53" s="5" t="str">
        <f>IFERROR(__xludf.DUMMYFUNCTION("""COMPUTED_VALUE"""),"Lý Quài Nhân")</f>
        <v>Lý Quài Nhân</v>
      </c>
      <c r="B53" s="5" t="s">
        <v>61</v>
      </c>
      <c r="C53" s="7">
        <v>0.1037296037</v>
      </c>
      <c r="D53" s="7">
        <v>0.1027777778</v>
      </c>
      <c r="E53" s="7">
        <v>0.09</v>
      </c>
      <c r="F53" s="7">
        <v>0.07545605307</v>
      </c>
      <c r="G53" s="7">
        <v>0.1103448276</v>
      </c>
      <c r="H53" s="8">
        <f t="shared" si="1"/>
        <v>0.03488877453</v>
      </c>
      <c r="I53" s="9"/>
      <c r="J53" s="5" t="str">
        <f>IFERROR(__xludf.DUMMYFUNCTION("""COMPUTED_VALUE"""),"Huỳnh Phương Duy")</f>
        <v>Huỳnh Phương Duy</v>
      </c>
      <c r="K53" s="16" t="s">
        <v>62</v>
      </c>
      <c r="L53" s="17">
        <v>0.06741573033707865</v>
      </c>
      <c r="M53" s="17">
        <v>0.06040268456375839</v>
      </c>
      <c r="N53" s="17">
        <v>0.07575757575757576</v>
      </c>
      <c r="O53" s="17">
        <v>0.038461538461538464</v>
      </c>
      <c r="P53" s="17">
        <v>0.02564102564102564</v>
      </c>
      <c r="Q53" s="17">
        <v>0.018518518518518517</v>
      </c>
      <c r="R53" s="17">
        <v>0.031496062992125984</v>
      </c>
      <c r="S53" s="17">
        <v>0.09</v>
      </c>
      <c r="T53" s="8">
        <f t="shared" si="2"/>
        <v>0.05850393701</v>
      </c>
      <c r="U53" s="8">
        <f t="shared" si="3"/>
        <v>0.02258426966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>
      <c r="A54" s="5" t="str">
        <f>IFERROR(__xludf.DUMMYFUNCTION("""COMPUTED_VALUE"""),"Huỳnh Phương Duy")</f>
        <v>Huỳnh Phương Duy</v>
      </c>
      <c r="B54" s="5" t="s">
        <v>62</v>
      </c>
      <c r="C54" s="7">
        <v>0.03924050633</v>
      </c>
      <c r="D54" s="7">
        <v>0.05080545229</v>
      </c>
      <c r="E54" s="7">
        <v>0.04057591623</v>
      </c>
      <c r="F54" s="7">
        <v>0.04352557127</v>
      </c>
      <c r="G54" s="7">
        <v>0.09</v>
      </c>
      <c r="H54" s="8">
        <f t="shared" si="1"/>
        <v>0.04647442873</v>
      </c>
      <c r="I54" s="9"/>
      <c r="J54" s="5" t="str">
        <f>IFERROR(__xludf.DUMMYFUNCTION("""COMPUTED_VALUE"""),"Lâm Xuân Vinh")</f>
        <v>Lâm Xuân Vinh</v>
      </c>
      <c r="K54" s="16" t="s">
        <v>63</v>
      </c>
      <c r="L54" s="17">
        <v>0.0763888888888889</v>
      </c>
      <c r="M54" s="17">
        <v>0.030303030303030304</v>
      </c>
      <c r="N54" s="17">
        <v>0.09615384615384616</v>
      </c>
      <c r="O54" s="17">
        <v>0.010638297872340425</v>
      </c>
      <c r="P54" s="17">
        <v>0.044444444444444446</v>
      </c>
      <c r="Q54" s="17">
        <v>0.0625</v>
      </c>
      <c r="R54" s="17">
        <v>0.034482758620689655</v>
      </c>
      <c r="S54" s="17">
        <v>0.028985507246376812</v>
      </c>
      <c r="T54" s="8">
        <f t="shared" si="2"/>
        <v>-0.005497251374</v>
      </c>
      <c r="U54" s="8">
        <f t="shared" si="3"/>
        <v>-0.04740338164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>
      <c r="A55" s="5" t="str">
        <f>IFERROR(__xludf.DUMMYFUNCTION("""COMPUTED_VALUE"""),"Lâm Xuân Vinh")</f>
        <v>Lâm Xuân Vinh</v>
      </c>
      <c r="B55" s="5" t="s">
        <v>63</v>
      </c>
      <c r="C55" s="7">
        <v>0.05422647528</v>
      </c>
      <c r="D55" s="7">
        <v>0.05856515373</v>
      </c>
      <c r="E55" s="7">
        <v>0.04685212299</v>
      </c>
      <c r="F55" s="7">
        <v>0.05198019802</v>
      </c>
      <c r="G55" s="7">
        <v>0.02898550725</v>
      </c>
      <c r="H55" s="8">
        <f t="shared" si="1"/>
        <v>-0.02299469077</v>
      </c>
      <c r="I55" s="9"/>
      <c r="J55" s="5" t="str">
        <f>IFERROR(__xludf.DUMMYFUNCTION("""COMPUTED_VALUE"""),"Nguyễn Thành Huy")</f>
        <v>Nguyễn Thành Huy</v>
      </c>
      <c r="K55" s="16" t="s">
        <v>64</v>
      </c>
      <c r="L55" s="17">
        <v>0.02936096718480138</v>
      </c>
      <c r="M55" s="17">
        <v>0.03626943005181347</v>
      </c>
      <c r="N55" s="17">
        <v>0.023166023166023165</v>
      </c>
      <c r="O55" s="17">
        <v>0.03852080123266564</v>
      </c>
      <c r="P55" s="17">
        <v>0.05112474437627812</v>
      </c>
      <c r="Q55" s="17">
        <v>0.04030710172744722</v>
      </c>
      <c r="R55" s="17">
        <v>0.037694013303769404</v>
      </c>
      <c r="S55" s="17">
        <v>0.06236559139784946</v>
      </c>
      <c r="T55" s="8">
        <f t="shared" si="2"/>
        <v>0.02467157809</v>
      </c>
      <c r="U55" s="8">
        <f t="shared" si="3"/>
        <v>0.03300462421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>
      <c r="A56" s="5" t="str">
        <f>IFERROR(__xludf.DUMMYFUNCTION("""COMPUTED_VALUE"""),"Nguyễn Thành Huy")</f>
        <v>Nguyễn Thành Huy</v>
      </c>
      <c r="B56" s="5" t="s">
        <v>64</v>
      </c>
      <c r="C56" s="7">
        <v>0.04115853659</v>
      </c>
      <c r="D56" s="7">
        <v>0.03870319176</v>
      </c>
      <c r="E56" s="7">
        <v>0.04761904762</v>
      </c>
      <c r="F56" s="7">
        <v>0.03645007924</v>
      </c>
      <c r="G56" s="7">
        <v>0.0623655914</v>
      </c>
      <c r="H56" s="8">
        <f t="shared" si="1"/>
        <v>0.02591551216</v>
      </c>
      <c r="I56" s="9"/>
      <c r="J56" s="5" t="str">
        <f>IFERROR(__xludf.DUMMYFUNCTION("""COMPUTED_VALUE"""),"Ngô Phan Mỹ Tú")</f>
        <v>Ngô Phan Mỹ Tú</v>
      </c>
      <c r="K56" s="16" t="s">
        <v>65</v>
      </c>
      <c r="L56" s="17">
        <v>0.039525691699604744</v>
      </c>
      <c r="M56" s="17">
        <v>0.03322259136212625</v>
      </c>
      <c r="N56" s="17">
        <v>0.03292181069958848</v>
      </c>
      <c r="O56" s="17">
        <v>0.03985507246376811</v>
      </c>
      <c r="P56" s="17">
        <v>0.033582089552238806</v>
      </c>
      <c r="Q56" s="17">
        <v>0.010380622837370242</v>
      </c>
      <c r="R56" s="17">
        <v>0.06278026905829596</v>
      </c>
      <c r="S56" s="17">
        <v>0.05045871559633028</v>
      </c>
      <c r="T56" s="8">
        <f t="shared" si="2"/>
        <v>-0.01232155346</v>
      </c>
      <c r="U56" s="8">
        <f t="shared" si="3"/>
        <v>0.0109330239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>
      <c r="A57" s="5" t="str">
        <f>IFERROR(__xludf.DUMMYFUNCTION("""COMPUTED_VALUE"""),"Ngô Phan Mỹ Tú")</f>
        <v>Ngô Phan Mỹ Tú</v>
      </c>
      <c r="B57" s="5" t="s">
        <v>65</v>
      </c>
      <c r="C57" s="7">
        <v>0.03609022556</v>
      </c>
      <c r="D57" s="7">
        <v>0.03083989501</v>
      </c>
      <c r="E57" s="7">
        <v>0.03527717783</v>
      </c>
      <c r="F57" s="7">
        <v>0.03507825148</v>
      </c>
      <c r="G57" s="7">
        <v>0.0504587156</v>
      </c>
      <c r="H57" s="8">
        <f t="shared" si="1"/>
        <v>0.01538046412</v>
      </c>
      <c r="I57" s="9"/>
      <c r="J57" s="5" t="str">
        <f>IFERROR(__xludf.DUMMYFUNCTION("""COMPUTED_VALUE"""),"Lý Quài Nhân")</f>
        <v>Lý Quài Nhân</v>
      </c>
      <c r="K57" s="16" t="s">
        <v>66</v>
      </c>
      <c r="L57" s="17">
        <v>0.03937007874015748</v>
      </c>
      <c r="M57" s="17">
        <v>0.05863192182410423</v>
      </c>
      <c r="N57" s="17">
        <v>0.05338078291814947</v>
      </c>
      <c r="O57" s="17">
        <v>0.06906906906906907</v>
      </c>
      <c r="P57" s="17">
        <v>0.07395498392282958</v>
      </c>
      <c r="Q57" s="17">
        <v>0.0944055944055944</v>
      </c>
      <c r="R57" s="17">
        <v>0.10067114093959731</v>
      </c>
      <c r="S57" s="17">
        <v>0.1037344398340249</v>
      </c>
      <c r="T57" s="8">
        <f t="shared" si="2"/>
        <v>0.003063298894</v>
      </c>
      <c r="U57" s="8">
        <f t="shared" si="3"/>
        <v>0.06436436109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>
      <c r="A58" s="5" t="str">
        <f>IFERROR(__xludf.DUMMYFUNCTION("""COMPUTED_VALUE"""),"Lý Quài Nhân")</f>
        <v>Lý Quài Nhân</v>
      </c>
      <c r="B58" s="5" t="s">
        <v>66</v>
      </c>
      <c r="C58" s="7">
        <v>0.06760374833</v>
      </c>
      <c r="D58" s="7">
        <v>0.05491990847</v>
      </c>
      <c r="E58" s="7">
        <v>0.06492815327</v>
      </c>
      <c r="F58" s="7">
        <v>0.07053140097</v>
      </c>
      <c r="G58" s="7">
        <v>0.1037344398</v>
      </c>
      <c r="H58" s="8">
        <f t="shared" si="1"/>
        <v>0.03320303883</v>
      </c>
      <c r="I58" s="9"/>
      <c r="J58" s="5" t="str">
        <f>IFERROR(__xludf.DUMMYFUNCTION("""COMPUTED_VALUE"""),"Đoàn Công Tín")</f>
        <v>Đoàn Công Tín</v>
      </c>
      <c r="K58" s="16" t="s">
        <v>67</v>
      </c>
      <c r="L58" s="17">
        <v>0.04081632653061224</v>
      </c>
      <c r="M58" s="17">
        <v>0.03773584905660377</v>
      </c>
      <c r="N58" s="17">
        <v>0.09615384615384616</v>
      </c>
      <c r="O58" s="17">
        <v>0.33962264150943394</v>
      </c>
      <c r="P58" s="17">
        <v>0.048327137546468404</v>
      </c>
      <c r="Q58" s="17">
        <v>0.05392156862745098</v>
      </c>
      <c r="R58" s="17">
        <v>0.06756756756756757</v>
      </c>
      <c r="S58" s="17">
        <v>0.08552631578947369</v>
      </c>
      <c r="T58" s="8">
        <f t="shared" si="2"/>
        <v>0.01795874822</v>
      </c>
      <c r="U58" s="8">
        <f t="shared" si="3"/>
        <v>0.04470998926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>
      <c r="A59" s="5" t="str">
        <f>IFERROR(__xludf.DUMMYFUNCTION("""COMPUTED_VALUE"""),"Đoàn Công Tín")</f>
        <v>Đoàn Công Tín</v>
      </c>
      <c r="B59" s="5" t="s">
        <v>67</v>
      </c>
      <c r="C59" s="7">
        <v>0.05625606208</v>
      </c>
      <c r="D59" s="7">
        <v>0.06813996317</v>
      </c>
      <c r="E59" s="7">
        <v>0.05795768169</v>
      </c>
      <c r="F59" s="7">
        <v>0.06954225352</v>
      </c>
      <c r="G59" s="7">
        <v>0.08552631579</v>
      </c>
      <c r="H59" s="8">
        <f t="shared" si="1"/>
        <v>0.01598406227</v>
      </c>
      <c r="I59" s="9"/>
      <c r="J59" s="5" t="str">
        <f>IFERROR(__xludf.DUMMYFUNCTION("""COMPUTED_VALUE"""),"Lê Minh Tuấn")</f>
        <v>Lê Minh Tuấn</v>
      </c>
      <c r="K59" s="16" t="s">
        <v>68</v>
      </c>
      <c r="L59" s="17">
        <v>0.09302325581395349</v>
      </c>
      <c r="M59" s="17">
        <v>0.06818181818181818</v>
      </c>
      <c r="N59" s="17">
        <v>0.02617801047120419</v>
      </c>
      <c r="O59" s="17">
        <v>0.07142857142857142</v>
      </c>
      <c r="P59" s="17">
        <v>0.03571428571428571</v>
      </c>
      <c r="Q59" s="17">
        <v>0.09146341463414634</v>
      </c>
      <c r="R59" s="17">
        <v>0.07633587786259542</v>
      </c>
      <c r="S59" s="17">
        <v>0.075</v>
      </c>
      <c r="T59" s="8">
        <f t="shared" si="2"/>
        <v>-0.001335877863</v>
      </c>
      <c r="U59" s="8">
        <f t="shared" si="3"/>
        <v>-0.01802325581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>
      <c r="A60" s="5" t="str">
        <f>IFERROR(__xludf.DUMMYFUNCTION("""COMPUTED_VALUE"""),"Lê Minh Tuấn")</f>
        <v>Lê Minh Tuấn</v>
      </c>
      <c r="B60" s="5" t="s">
        <v>68</v>
      </c>
      <c r="C60" s="7">
        <v>0.05569620253</v>
      </c>
      <c r="D60" s="7">
        <v>0.05786163522</v>
      </c>
      <c r="E60" s="7">
        <v>0.04628632939</v>
      </c>
      <c r="F60" s="7">
        <v>0.06210621062</v>
      </c>
      <c r="G60" s="7">
        <v>0.075</v>
      </c>
      <c r="H60" s="8">
        <f t="shared" si="1"/>
        <v>0.01289378938</v>
      </c>
      <c r="I60" s="9"/>
      <c r="J60" s="5" t="str">
        <f>IFERROR(__xludf.DUMMYFUNCTION("""COMPUTED_VALUE"""),"Nguyễn Tuấn Anh")</f>
        <v>Nguyễn Tuấn Anh</v>
      </c>
      <c r="K60" s="16" t="s">
        <v>69</v>
      </c>
      <c r="L60" s="17">
        <v>0.01818181818181818</v>
      </c>
      <c r="M60" s="17">
        <v>0.04672897196261682</v>
      </c>
      <c r="N60" s="17">
        <v>0.018018018018018018</v>
      </c>
      <c r="O60" s="17">
        <v>0.0423728813559322</v>
      </c>
      <c r="P60" s="17">
        <v>0.04878048780487805</v>
      </c>
      <c r="Q60" s="17">
        <v>0.024793388429752067</v>
      </c>
      <c r="R60" s="17">
        <v>0.059027777777777776</v>
      </c>
      <c r="S60" s="17">
        <v>0.008695652173913044</v>
      </c>
      <c r="T60" s="8">
        <f t="shared" si="2"/>
        <v>-0.0503321256</v>
      </c>
      <c r="U60" s="8">
        <f t="shared" si="3"/>
        <v>-0.009486166008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>
      <c r="A61" s="5" t="str">
        <f>IFERROR(__xludf.DUMMYFUNCTION("""COMPUTED_VALUE"""),"Nguyễn Tuấn Anh")</f>
        <v>Nguyễn Tuấn Anh</v>
      </c>
      <c r="B61" s="5" t="s">
        <v>69</v>
      </c>
      <c r="C61" s="7">
        <v>0.03223388306</v>
      </c>
      <c r="D61" s="7">
        <v>0.03966597077</v>
      </c>
      <c r="E61" s="7">
        <v>0.03613666229</v>
      </c>
      <c r="F61" s="7">
        <v>0.03803393798</v>
      </c>
      <c r="G61" s="7">
        <v>0.008695652174</v>
      </c>
      <c r="H61" s="8">
        <f t="shared" si="1"/>
        <v>-0.02933828581</v>
      </c>
      <c r="I61" s="9"/>
      <c r="J61" s="5" t="str">
        <f>IFERROR(__xludf.DUMMYFUNCTION("""COMPUTED_VALUE"""),"Nguyễn Thành Huy")</f>
        <v>Nguyễn Thành Huy</v>
      </c>
      <c r="K61" s="16" t="s">
        <v>70</v>
      </c>
      <c r="L61" s="17">
        <v>0.03985507246376811</v>
      </c>
      <c r="M61" s="17">
        <v>0.04583333333333333</v>
      </c>
      <c r="N61" s="17">
        <v>0.06451612903225806</v>
      </c>
      <c r="O61" s="17">
        <v>0.04878048780487805</v>
      </c>
      <c r="P61" s="17">
        <v>0.046610169491525424</v>
      </c>
      <c r="Q61" s="17">
        <v>0.03349282296650718</v>
      </c>
      <c r="R61" s="17">
        <v>0.07692307692307693</v>
      </c>
      <c r="S61" s="17">
        <v>0.041025641025641026</v>
      </c>
      <c r="T61" s="8">
        <f t="shared" si="2"/>
        <v>-0.0358974359</v>
      </c>
      <c r="U61" s="8">
        <f t="shared" si="3"/>
        <v>0.001170568562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>
      <c r="A62" s="5" t="str">
        <f>IFERROR(__xludf.DUMMYFUNCTION("""COMPUTED_VALUE"""),"Nguyễn Thành Huy")</f>
        <v>Nguyễn Thành Huy</v>
      </c>
      <c r="B62" s="5" t="s">
        <v>70</v>
      </c>
      <c r="C62" s="7"/>
      <c r="D62" s="7"/>
      <c r="E62" s="7">
        <v>0.05861244019</v>
      </c>
      <c r="F62" s="7">
        <v>0.04929577465</v>
      </c>
      <c r="G62" s="7">
        <v>0.04102564103</v>
      </c>
      <c r="H62" s="8">
        <f t="shared" si="1"/>
        <v>-0.00827013362</v>
      </c>
      <c r="I62" s="9"/>
      <c r="J62" s="5" t="str">
        <f>IFERROR(__xludf.DUMMYFUNCTION("""COMPUTED_VALUE"""),"Nguyễn Thành Huy")</f>
        <v>Nguyễn Thành Huy</v>
      </c>
      <c r="K62" s="16" t="s">
        <v>71</v>
      </c>
      <c r="L62" s="17">
        <v>0.03858520900321544</v>
      </c>
      <c r="M62" s="17">
        <v>0.06451612903225806</v>
      </c>
      <c r="N62" s="17">
        <v>0.06050955414012739</v>
      </c>
      <c r="O62" s="17">
        <v>0.031088082901554404</v>
      </c>
      <c r="P62" s="17">
        <v>0.05278592375366569</v>
      </c>
      <c r="Q62" s="17">
        <v>0.05637982195845697</v>
      </c>
      <c r="R62" s="17">
        <v>0.05537459283387622</v>
      </c>
      <c r="S62" s="17">
        <v>0.051094890510948905</v>
      </c>
      <c r="T62" s="8">
        <f t="shared" si="2"/>
        <v>-0.004279702323</v>
      </c>
      <c r="U62" s="8">
        <f t="shared" si="3"/>
        <v>0.01250968151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>
      <c r="A63" s="5" t="str">
        <f>IFERROR(__xludf.DUMMYFUNCTION("""COMPUTED_VALUE"""),"Nguyễn Thành Huy")</f>
        <v>Nguyễn Thành Huy</v>
      </c>
      <c r="B63" s="5" t="s">
        <v>71</v>
      </c>
      <c r="C63" s="7">
        <v>0.05102996255</v>
      </c>
      <c r="D63" s="7">
        <v>0.05183585313</v>
      </c>
      <c r="E63" s="7">
        <v>0.0600744285</v>
      </c>
      <c r="F63" s="7">
        <v>0.05073720729</v>
      </c>
      <c r="G63" s="7">
        <v>0.05109489051</v>
      </c>
      <c r="H63" s="8">
        <f t="shared" si="1"/>
        <v>0.00035768322</v>
      </c>
      <c r="I63" s="9"/>
      <c r="J63" s="10" t="s">
        <v>72</v>
      </c>
      <c r="K63" s="11"/>
      <c r="L63" s="12">
        <v>0.05386313466</v>
      </c>
      <c r="M63" s="12">
        <v>0.0537366548</v>
      </c>
      <c r="N63" s="12">
        <v>0.05412275263</v>
      </c>
      <c r="O63" s="12">
        <v>0.04790843118</v>
      </c>
      <c r="P63" s="12">
        <v>0.05480880649</v>
      </c>
      <c r="Q63" s="12">
        <v>0.05445394458</v>
      </c>
      <c r="R63" s="12">
        <v>0.07319485658</v>
      </c>
      <c r="S63" s="12">
        <v>0.06989779097</v>
      </c>
      <c r="T63" s="13">
        <f t="shared" si="2"/>
        <v>-0.00329706561</v>
      </c>
      <c r="U63" s="13">
        <f t="shared" si="3"/>
        <v>0.01603465631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>
      <c r="A64" s="10" t="s">
        <v>72</v>
      </c>
      <c r="B64" s="11"/>
      <c r="C64" s="12">
        <v>0.05614775835</v>
      </c>
      <c r="D64" s="12">
        <v>0.05189709421</v>
      </c>
      <c r="E64" s="12">
        <v>0.0555350804</v>
      </c>
      <c r="F64" s="12">
        <v>0.05578415134</v>
      </c>
      <c r="G64" s="12">
        <v>0.06989779097</v>
      </c>
      <c r="H64" s="13">
        <f t="shared" si="1"/>
        <v>0.01411363963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>
      <c r="A65" s="9"/>
      <c r="B65" s="9"/>
      <c r="C65" s="14"/>
      <c r="D65" s="14"/>
      <c r="E65" s="14"/>
      <c r="F65" s="14"/>
      <c r="G65" s="14"/>
      <c r="H65" s="1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>
      <c r="A66" s="9"/>
      <c r="B66" s="9"/>
      <c r="C66" s="14"/>
      <c r="D66" s="14"/>
      <c r="E66" s="14"/>
      <c r="F66" s="14"/>
      <c r="G66" s="14"/>
      <c r="H66" s="1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>
      <c r="A67" s="9"/>
      <c r="B67" s="9"/>
      <c r="C67" s="14"/>
      <c r="D67" s="14"/>
      <c r="E67" s="14"/>
      <c r="F67" s="14"/>
      <c r="G67" s="14"/>
      <c r="H67" s="1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>
      <c r="A68" s="9"/>
      <c r="B68" s="9"/>
      <c r="C68" s="14"/>
      <c r="D68" s="14"/>
      <c r="E68" s="14"/>
      <c r="F68" s="14"/>
      <c r="G68" s="14"/>
      <c r="H68" s="15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>
      <c r="A69" s="9"/>
      <c r="B69" s="9"/>
      <c r="C69" s="14"/>
      <c r="D69" s="14"/>
      <c r="E69" s="14"/>
      <c r="F69" s="14"/>
      <c r="G69" s="14"/>
      <c r="H69" s="1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>
      <c r="A70" s="9"/>
      <c r="B70" s="9"/>
      <c r="C70" s="14"/>
      <c r="D70" s="14"/>
      <c r="E70" s="14"/>
      <c r="F70" s="14"/>
      <c r="G70" s="14"/>
      <c r="H70" s="1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>
      <c r="A71" s="9"/>
      <c r="B71" s="9"/>
      <c r="C71" s="14"/>
      <c r="D71" s="14"/>
      <c r="E71" s="14"/>
      <c r="F71" s="14"/>
      <c r="G71" s="14"/>
      <c r="H71" s="15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>
      <c r="A72" s="9"/>
      <c r="B72" s="9"/>
      <c r="C72" s="14"/>
      <c r="D72" s="14"/>
      <c r="E72" s="14"/>
      <c r="F72" s="14"/>
      <c r="G72" s="14"/>
      <c r="H72" s="15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>
      <c r="A73" s="9"/>
      <c r="B73" s="9"/>
      <c r="C73" s="14"/>
      <c r="D73" s="14"/>
      <c r="E73" s="14"/>
      <c r="F73" s="14"/>
      <c r="G73" s="14"/>
      <c r="H73" s="15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9"/>
      <c r="B74" s="9"/>
      <c r="C74" s="14"/>
      <c r="D74" s="14"/>
      <c r="E74" s="14"/>
      <c r="F74" s="14"/>
      <c r="G74" s="14"/>
      <c r="H74" s="1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>
      <c r="A75" s="9"/>
      <c r="B75" s="9"/>
      <c r="C75" s="14"/>
      <c r="D75" s="14"/>
      <c r="E75" s="14"/>
      <c r="F75" s="14"/>
      <c r="G75" s="14"/>
      <c r="H75" s="15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>
      <c r="A76" s="9"/>
      <c r="B76" s="9"/>
      <c r="C76" s="14"/>
      <c r="D76" s="14"/>
      <c r="E76" s="14"/>
      <c r="F76" s="14"/>
      <c r="G76" s="14"/>
      <c r="H76" s="15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>
      <c r="A77" s="9"/>
      <c r="B77" s="9"/>
      <c r="C77" s="14"/>
      <c r="D77" s="14"/>
      <c r="E77" s="14"/>
      <c r="F77" s="14"/>
      <c r="G77" s="14"/>
      <c r="H77" s="1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>
      <c r="A78" s="9"/>
      <c r="B78" s="9"/>
      <c r="C78" s="14"/>
      <c r="D78" s="14"/>
      <c r="E78" s="14"/>
      <c r="F78" s="14"/>
      <c r="G78" s="14"/>
      <c r="H78" s="1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>
      <c r="A79" s="9"/>
      <c r="B79" s="9"/>
      <c r="C79" s="14"/>
      <c r="D79" s="14"/>
      <c r="E79" s="14"/>
      <c r="F79" s="14"/>
      <c r="G79" s="14"/>
      <c r="H79" s="15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>
      <c r="A80" s="9"/>
      <c r="B80" s="9"/>
      <c r="C80" s="14"/>
      <c r="D80" s="14"/>
      <c r="E80" s="14"/>
      <c r="F80" s="14"/>
      <c r="G80" s="14"/>
      <c r="H80" s="15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>
      <c r="A81" s="9"/>
      <c r="B81" s="9"/>
      <c r="C81" s="14"/>
      <c r="D81" s="14"/>
      <c r="E81" s="14"/>
      <c r="F81" s="14"/>
      <c r="G81" s="14"/>
      <c r="H81" s="15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>
      <c r="A82" s="9"/>
      <c r="B82" s="9"/>
      <c r="C82" s="14"/>
      <c r="D82" s="14"/>
      <c r="E82" s="14"/>
      <c r="F82" s="14"/>
      <c r="G82" s="14"/>
      <c r="H82" s="15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>
      <c r="A83" s="9"/>
      <c r="B83" s="9"/>
      <c r="C83" s="14"/>
      <c r="D83" s="14"/>
      <c r="E83" s="14"/>
      <c r="F83" s="14"/>
      <c r="G83" s="14"/>
      <c r="H83" s="15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>
      <c r="A84" s="9"/>
      <c r="B84" s="9"/>
      <c r="C84" s="14"/>
      <c r="D84" s="14"/>
      <c r="E84" s="14"/>
      <c r="F84" s="14"/>
      <c r="G84" s="14"/>
      <c r="H84" s="15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>
      <c r="A85" s="9"/>
      <c r="B85" s="9"/>
      <c r="C85" s="14"/>
      <c r="D85" s="14"/>
      <c r="E85" s="14"/>
      <c r="F85" s="14"/>
      <c r="G85" s="14"/>
      <c r="H85" s="15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>
      <c r="A86" s="9"/>
      <c r="B86" s="9"/>
      <c r="C86" s="14"/>
      <c r="D86" s="14"/>
      <c r="E86" s="14"/>
      <c r="F86" s="14"/>
      <c r="G86" s="14"/>
      <c r="H86" s="15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>
      <c r="A87" s="9"/>
      <c r="B87" s="9"/>
      <c r="C87" s="14"/>
      <c r="D87" s="14"/>
      <c r="E87" s="14"/>
      <c r="F87" s="14"/>
      <c r="G87" s="14"/>
      <c r="H87" s="15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>
      <c r="A88" s="9"/>
      <c r="B88" s="9"/>
      <c r="C88" s="14"/>
      <c r="D88" s="14"/>
      <c r="E88" s="14"/>
      <c r="F88" s="14"/>
      <c r="G88" s="14"/>
      <c r="H88" s="1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>
      <c r="A89" s="9"/>
      <c r="B89" s="9"/>
      <c r="C89" s="14"/>
      <c r="D89" s="14"/>
      <c r="E89" s="14"/>
      <c r="F89" s="14"/>
      <c r="G89" s="14"/>
      <c r="H89" s="1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>
      <c r="A90" s="9"/>
      <c r="B90" s="9"/>
      <c r="C90" s="14"/>
      <c r="D90" s="14"/>
      <c r="E90" s="14"/>
      <c r="F90" s="14"/>
      <c r="G90" s="14"/>
      <c r="H90" s="1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>
      <c r="A91" s="9"/>
      <c r="B91" s="9"/>
      <c r="C91" s="14"/>
      <c r="D91" s="14"/>
      <c r="E91" s="14"/>
      <c r="F91" s="14"/>
      <c r="G91" s="14"/>
      <c r="H91" s="1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>
      <c r="A92" s="9"/>
      <c r="B92" s="9"/>
      <c r="C92" s="14"/>
      <c r="D92" s="14"/>
      <c r="E92" s="14"/>
      <c r="F92" s="14"/>
      <c r="G92" s="14"/>
      <c r="H92" s="1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>
      <c r="A93" s="9"/>
      <c r="B93" s="9"/>
      <c r="C93" s="14"/>
      <c r="D93" s="14"/>
      <c r="E93" s="14"/>
      <c r="F93" s="14"/>
      <c r="G93" s="14"/>
      <c r="H93" s="1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>
      <c r="A94" s="9"/>
      <c r="B94" s="9"/>
      <c r="C94" s="14"/>
      <c r="D94" s="14"/>
      <c r="E94" s="14"/>
      <c r="F94" s="14"/>
      <c r="G94" s="14"/>
      <c r="H94" s="15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>
      <c r="A95" s="9"/>
      <c r="B95" s="9"/>
      <c r="C95" s="14"/>
      <c r="D95" s="14"/>
      <c r="E95" s="14"/>
      <c r="F95" s="14"/>
      <c r="G95" s="14"/>
      <c r="H95" s="1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>
      <c r="A96" s="9"/>
      <c r="B96" s="9"/>
      <c r="C96" s="14"/>
      <c r="D96" s="14"/>
      <c r="E96" s="14"/>
      <c r="F96" s="14"/>
      <c r="G96" s="14"/>
      <c r="H96" s="1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>
      <c r="A97" s="9"/>
      <c r="B97" s="9"/>
      <c r="C97" s="14"/>
      <c r="D97" s="14"/>
      <c r="E97" s="14"/>
      <c r="F97" s="14"/>
      <c r="G97" s="14"/>
      <c r="H97" s="1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>
      <c r="A98" s="9"/>
      <c r="B98" s="9"/>
      <c r="C98" s="14"/>
      <c r="D98" s="14"/>
      <c r="E98" s="14"/>
      <c r="F98" s="14"/>
      <c r="G98" s="14"/>
      <c r="H98" s="1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>
      <c r="A99" s="9"/>
      <c r="B99" s="9"/>
      <c r="C99" s="14"/>
      <c r="D99" s="14"/>
      <c r="E99" s="14"/>
      <c r="F99" s="14"/>
      <c r="G99" s="14"/>
      <c r="H99" s="1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>
      <c r="A100" s="9"/>
      <c r="B100" s="9"/>
      <c r="C100" s="14"/>
      <c r="D100" s="14"/>
      <c r="E100" s="14"/>
      <c r="F100" s="14"/>
      <c r="G100" s="14"/>
      <c r="H100" s="1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>
      <c r="A101" s="9"/>
      <c r="B101" s="9"/>
      <c r="C101" s="14"/>
      <c r="D101" s="14"/>
      <c r="E101" s="14"/>
      <c r="F101" s="14"/>
      <c r="G101" s="14"/>
      <c r="H101" s="1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>
      <c r="A102" s="9"/>
      <c r="B102" s="9"/>
      <c r="C102" s="14"/>
      <c r="D102" s="14"/>
      <c r="E102" s="14"/>
      <c r="F102" s="14"/>
      <c r="G102" s="14"/>
      <c r="H102" s="15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>
      <c r="A103" s="9"/>
      <c r="B103" s="9"/>
      <c r="C103" s="14"/>
      <c r="D103" s="14"/>
      <c r="E103" s="14"/>
      <c r="F103" s="14"/>
      <c r="G103" s="14"/>
      <c r="H103" s="1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>
      <c r="A104" s="9"/>
      <c r="B104" s="9"/>
      <c r="C104" s="14"/>
      <c r="D104" s="14"/>
      <c r="E104" s="14"/>
      <c r="F104" s="14"/>
      <c r="G104" s="14"/>
      <c r="H104" s="1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>
      <c r="A105" s="9"/>
      <c r="B105" s="9"/>
      <c r="C105" s="14"/>
      <c r="D105" s="14"/>
      <c r="E105" s="14"/>
      <c r="F105" s="14"/>
      <c r="G105" s="14"/>
      <c r="H105" s="15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>
      <c r="A106" s="9"/>
      <c r="B106" s="9"/>
      <c r="C106" s="14"/>
      <c r="D106" s="14"/>
      <c r="E106" s="14"/>
      <c r="F106" s="14"/>
      <c r="G106" s="14"/>
      <c r="H106" s="1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>
      <c r="A107" s="9"/>
      <c r="B107" s="9"/>
      <c r="C107" s="14"/>
      <c r="D107" s="14"/>
      <c r="E107" s="14"/>
      <c r="F107" s="14"/>
      <c r="G107" s="14"/>
      <c r="H107" s="1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>
      <c r="A108" s="9"/>
      <c r="B108" s="9"/>
      <c r="C108" s="14"/>
      <c r="D108" s="14"/>
      <c r="E108" s="14"/>
      <c r="F108" s="14"/>
      <c r="G108" s="14"/>
      <c r="H108" s="15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>
      <c r="A109" s="9"/>
      <c r="B109" s="9"/>
      <c r="C109" s="14"/>
      <c r="D109" s="14"/>
      <c r="E109" s="14"/>
      <c r="F109" s="14"/>
      <c r="G109" s="14"/>
      <c r="H109" s="15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>
      <c r="A110" s="9"/>
      <c r="B110" s="9"/>
      <c r="C110" s="14"/>
      <c r="D110" s="14"/>
      <c r="E110" s="14"/>
      <c r="F110" s="14"/>
      <c r="G110" s="14"/>
      <c r="H110" s="15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>
      <c r="A111" s="9"/>
      <c r="B111" s="9"/>
      <c r="C111" s="14"/>
      <c r="D111" s="14"/>
      <c r="E111" s="14"/>
      <c r="F111" s="14"/>
      <c r="G111" s="14"/>
      <c r="H111" s="15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>
      <c r="A112" s="9"/>
      <c r="B112" s="9"/>
      <c r="C112" s="14"/>
      <c r="D112" s="14"/>
      <c r="E112" s="14"/>
      <c r="F112" s="14"/>
      <c r="G112" s="14"/>
      <c r="H112" s="15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>
      <c r="A113" s="9"/>
      <c r="B113" s="9"/>
      <c r="C113" s="14"/>
      <c r="D113" s="14"/>
      <c r="E113" s="14"/>
      <c r="F113" s="14"/>
      <c r="G113" s="14"/>
      <c r="H113" s="1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>
      <c r="A114" s="9"/>
      <c r="B114" s="9"/>
      <c r="C114" s="14"/>
      <c r="D114" s="14"/>
      <c r="E114" s="14"/>
      <c r="F114" s="14"/>
      <c r="G114" s="14"/>
      <c r="H114" s="1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>
      <c r="A115" s="9"/>
      <c r="B115" s="9"/>
      <c r="C115" s="14"/>
      <c r="D115" s="14"/>
      <c r="E115" s="14"/>
      <c r="F115" s="14"/>
      <c r="G115" s="14"/>
      <c r="H115" s="1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>
      <c r="A116" s="9"/>
      <c r="B116" s="9"/>
      <c r="C116" s="14"/>
      <c r="D116" s="14"/>
      <c r="E116" s="14"/>
      <c r="F116" s="14"/>
      <c r="G116" s="14"/>
      <c r="H116" s="1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>
      <c r="A117" s="9"/>
      <c r="B117" s="9"/>
      <c r="C117" s="14"/>
      <c r="D117" s="14"/>
      <c r="E117" s="14"/>
      <c r="F117" s="14"/>
      <c r="G117" s="14"/>
      <c r="H117" s="1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>
      <c r="A118" s="9"/>
      <c r="B118" s="9"/>
      <c r="C118" s="14"/>
      <c r="D118" s="14"/>
      <c r="E118" s="14"/>
      <c r="F118" s="14"/>
      <c r="G118" s="14"/>
      <c r="H118" s="1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>
      <c r="A119" s="9"/>
      <c r="B119" s="9"/>
      <c r="C119" s="14"/>
      <c r="D119" s="14"/>
      <c r="E119" s="14"/>
      <c r="F119" s="14"/>
      <c r="G119" s="14"/>
      <c r="H119" s="1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>
      <c r="A120" s="9"/>
      <c r="B120" s="9"/>
      <c r="C120" s="14"/>
      <c r="D120" s="14"/>
      <c r="E120" s="14"/>
      <c r="F120" s="14"/>
      <c r="G120" s="14"/>
      <c r="H120" s="1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>
      <c r="A121" s="9"/>
      <c r="B121" s="9"/>
      <c r="C121" s="14"/>
      <c r="D121" s="14"/>
      <c r="E121" s="14"/>
      <c r="F121" s="14"/>
      <c r="G121" s="14"/>
      <c r="H121" s="1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>
      <c r="A122" s="9"/>
      <c r="B122" s="9"/>
      <c r="C122" s="14"/>
      <c r="D122" s="14"/>
      <c r="E122" s="14"/>
      <c r="F122" s="14"/>
      <c r="G122" s="14"/>
      <c r="H122" s="1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>
      <c r="A123" s="9"/>
      <c r="B123" s="9"/>
      <c r="C123" s="14"/>
      <c r="D123" s="14"/>
      <c r="E123" s="14"/>
      <c r="F123" s="14"/>
      <c r="G123" s="14"/>
      <c r="H123" s="1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>
      <c r="A124" s="9"/>
      <c r="B124" s="9"/>
      <c r="C124" s="14"/>
      <c r="D124" s="14"/>
      <c r="E124" s="14"/>
      <c r="F124" s="14"/>
      <c r="G124" s="14"/>
      <c r="H124" s="1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>
      <c r="A125" s="9"/>
      <c r="B125" s="9"/>
      <c r="C125" s="14"/>
      <c r="D125" s="14"/>
      <c r="E125" s="14"/>
      <c r="F125" s="14"/>
      <c r="G125" s="14"/>
      <c r="H125" s="1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>
      <c r="A126" s="9"/>
      <c r="B126" s="9"/>
      <c r="C126" s="14"/>
      <c r="D126" s="14"/>
      <c r="E126" s="14"/>
      <c r="F126" s="14"/>
      <c r="G126" s="14"/>
      <c r="H126" s="1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>
      <c r="A127" s="9"/>
      <c r="B127" s="9"/>
      <c r="C127" s="14"/>
      <c r="D127" s="14"/>
      <c r="E127" s="14"/>
      <c r="F127" s="14"/>
      <c r="G127" s="14"/>
      <c r="H127" s="1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>
      <c r="A128" s="9"/>
      <c r="B128" s="9"/>
      <c r="C128" s="14"/>
      <c r="D128" s="14"/>
      <c r="E128" s="14"/>
      <c r="F128" s="14"/>
      <c r="G128" s="14"/>
      <c r="H128" s="1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>
      <c r="A129" s="9"/>
      <c r="B129" s="9"/>
      <c r="C129" s="14"/>
      <c r="D129" s="14"/>
      <c r="E129" s="14"/>
      <c r="F129" s="14"/>
      <c r="G129" s="14"/>
      <c r="H129" s="1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>
      <c r="A130" s="9"/>
      <c r="B130" s="9"/>
      <c r="C130" s="14"/>
      <c r="D130" s="14"/>
      <c r="E130" s="14"/>
      <c r="F130" s="14"/>
      <c r="G130" s="14"/>
      <c r="H130" s="15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>
      <c r="A131" s="9"/>
      <c r="B131" s="9"/>
      <c r="C131" s="14"/>
      <c r="D131" s="14"/>
      <c r="E131" s="14"/>
      <c r="F131" s="14"/>
      <c r="G131" s="14"/>
      <c r="H131" s="1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>
      <c r="A132" s="9"/>
      <c r="B132" s="9"/>
      <c r="C132" s="14"/>
      <c r="D132" s="14"/>
      <c r="E132" s="14"/>
      <c r="F132" s="14"/>
      <c r="G132" s="14"/>
      <c r="H132" s="1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>
      <c r="A133" s="9"/>
      <c r="B133" s="9"/>
      <c r="C133" s="14"/>
      <c r="D133" s="14"/>
      <c r="E133" s="14"/>
      <c r="F133" s="14"/>
      <c r="G133" s="14"/>
      <c r="H133" s="1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>
      <c r="A134" s="9"/>
      <c r="B134" s="9"/>
      <c r="C134" s="14"/>
      <c r="D134" s="14"/>
      <c r="E134" s="14"/>
      <c r="F134" s="14"/>
      <c r="G134" s="14"/>
      <c r="H134" s="15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>
      <c r="A135" s="9"/>
      <c r="B135" s="9"/>
      <c r="C135" s="14"/>
      <c r="D135" s="14"/>
      <c r="E135" s="14"/>
      <c r="F135" s="14"/>
      <c r="G135" s="14"/>
      <c r="H135" s="1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>
      <c r="A136" s="9"/>
      <c r="B136" s="9"/>
      <c r="C136" s="14"/>
      <c r="D136" s="14"/>
      <c r="E136" s="14"/>
      <c r="F136" s="14"/>
      <c r="G136" s="14"/>
      <c r="H136" s="1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>
      <c r="A137" s="9"/>
      <c r="B137" s="9"/>
      <c r="C137" s="14"/>
      <c r="D137" s="14"/>
      <c r="E137" s="14"/>
      <c r="F137" s="14"/>
      <c r="G137" s="14"/>
      <c r="H137" s="1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>
      <c r="A138" s="9"/>
      <c r="B138" s="9"/>
      <c r="C138" s="14"/>
      <c r="D138" s="14"/>
      <c r="E138" s="14"/>
      <c r="F138" s="14"/>
      <c r="G138" s="14"/>
      <c r="H138" s="1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>
      <c r="A139" s="9"/>
      <c r="B139" s="9"/>
      <c r="C139" s="14"/>
      <c r="D139" s="14"/>
      <c r="E139" s="14"/>
      <c r="F139" s="14"/>
      <c r="G139" s="14"/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>
      <c r="A140" s="9"/>
      <c r="B140" s="9"/>
      <c r="C140" s="14"/>
      <c r="D140" s="14"/>
      <c r="E140" s="14"/>
      <c r="F140" s="14"/>
      <c r="G140" s="14"/>
      <c r="H140" s="1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>
      <c r="A141" s="9"/>
      <c r="B141" s="9"/>
      <c r="C141" s="14"/>
      <c r="D141" s="14"/>
      <c r="E141" s="14"/>
      <c r="F141" s="14"/>
      <c r="G141" s="14"/>
      <c r="H141" s="1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>
      <c r="A142" s="9"/>
      <c r="B142" s="9"/>
      <c r="C142" s="14"/>
      <c r="D142" s="14"/>
      <c r="E142" s="14"/>
      <c r="F142" s="14"/>
      <c r="G142" s="14"/>
      <c r="H142" s="1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>
      <c r="A143" s="9"/>
      <c r="B143" s="9"/>
      <c r="C143" s="14"/>
      <c r="D143" s="14"/>
      <c r="E143" s="14"/>
      <c r="F143" s="14"/>
      <c r="G143" s="14"/>
      <c r="H143" s="1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>
      <c r="A144" s="9"/>
      <c r="B144" s="9"/>
      <c r="C144" s="14"/>
      <c r="D144" s="14"/>
      <c r="E144" s="14"/>
      <c r="F144" s="14"/>
      <c r="G144" s="14"/>
      <c r="H144" s="1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>
      <c r="A145" s="9"/>
      <c r="B145" s="9"/>
      <c r="C145" s="14"/>
      <c r="D145" s="14"/>
      <c r="E145" s="14"/>
      <c r="F145" s="14"/>
      <c r="G145" s="14"/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>
      <c r="A146" s="9"/>
      <c r="B146" s="9"/>
      <c r="C146" s="14"/>
      <c r="D146" s="14"/>
      <c r="E146" s="14"/>
      <c r="F146" s="14"/>
      <c r="G146" s="14"/>
      <c r="H146" s="15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>
      <c r="A147" s="9"/>
      <c r="B147" s="9"/>
      <c r="C147" s="14"/>
      <c r="D147" s="14"/>
      <c r="E147" s="14"/>
      <c r="F147" s="14"/>
      <c r="G147" s="14"/>
      <c r="H147" s="1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>
      <c r="A148" s="9"/>
      <c r="B148" s="9"/>
      <c r="C148" s="14"/>
      <c r="D148" s="14"/>
      <c r="E148" s="14"/>
      <c r="F148" s="14"/>
      <c r="G148" s="14"/>
      <c r="H148" s="15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>
      <c r="A149" s="9"/>
      <c r="B149" s="9"/>
      <c r="C149" s="14"/>
      <c r="D149" s="14"/>
      <c r="E149" s="14"/>
      <c r="F149" s="14"/>
      <c r="G149" s="14"/>
      <c r="H149" s="1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>
      <c r="A150" s="9"/>
      <c r="B150" s="9"/>
      <c r="C150" s="14"/>
      <c r="D150" s="14"/>
      <c r="E150" s="14"/>
      <c r="F150" s="14"/>
      <c r="G150" s="14"/>
      <c r="H150" s="15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>
      <c r="A151" s="9"/>
      <c r="B151" s="9"/>
      <c r="C151" s="14"/>
      <c r="D151" s="14"/>
      <c r="E151" s="14"/>
      <c r="F151" s="14"/>
      <c r="G151" s="14"/>
      <c r="H151" s="1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>
      <c r="A152" s="9"/>
      <c r="B152" s="9"/>
      <c r="C152" s="14"/>
      <c r="D152" s="14"/>
      <c r="E152" s="14"/>
      <c r="F152" s="14"/>
      <c r="G152" s="14"/>
      <c r="H152" s="15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>
      <c r="A153" s="9"/>
      <c r="B153" s="9"/>
      <c r="C153" s="14"/>
      <c r="D153" s="14"/>
      <c r="E153" s="14"/>
      <c r="F153" s="14"/>
      <c r="G153" s="14"/>
      <c r="H153" s="1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>
      <c r="A154" s="9"/>
      <c r="B154" s="9"/>
      <c r="C154" s="14"/>
      <c r="D154" s="14"/>
      <c r="E154" s="14"/>
      <c r="F154" s="14"/>
      <c r="G154" s="14"/>
      <c r="H154" s="15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>
      <c r="A155" s="9"/>
      <c r="B155" s="9"/>
      <c r="C155" s="14"/>
      <c r="D155" s="14"/>
      <c r="E155" s="14"/>
      <c r="F155" s="14"/>
      <c r="G155" s="14"/>
      <c r="H155" s="15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>
      <c r="A156" s="9"/>
      <c r="B156" s="9"/>
      <c r="C156" s="14"/>
      <c r="D156" s="14"/>
      <c r="E156" s="14"/>
      <c r="F156" s="14"/>
      <c r="G156" s="14"/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>
      <c r="A157" s="9"/>
      <c r="B157" s="9"/>
      <c r="C157" s="14"/>
      <c r="D157" s="14"/>
      <c r="E157" s="14"/>
      <c r="F157" s="14"/>
      <c r="G157" s="14"/>
      <c r="H157" s="15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>
      <c r="A158" s="9"/>
      <c r="B158" s="9"/>
      <c r="C158" s="14"/>
      <c r="D158" s="14"/>
      <c r="E158" s="14"/>
      <c r="F158" s="14"/>
      <c r="G158" s="14"/>
      <c r="H158" s="15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>
      <c r="A159" s="9"/>
      <c r="B159" s="9"/>
      <c r="C159" s="14"/>
      <c r="D159" s="14"/>
      <c r="E159" s="14"/>
      <c r="F159" s="14"/>
      <c r="G159" s="14"/>
      <c r="H159" s="15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>
      <c r="A160" s="9"/>
      <c r="B160" s="9"/>
      <c r="C160" s="14"/>
      <c r="D160" s="14"/>
      <c r="E160" s="14"/>
      <c r="F160" s="14"/>
      <c r="G160" s="14"/>
      <c r="H160" s="1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>
      <c r="A161" s="9"/>
      <c r="B161" s="9"/>
      <c r="C161" s="14"/>
      <c r="D161" s="14"/>
      <c r="E161" s="14"/>
      <c r="F161" s="14"/>
      <c r="G161" s="14"/>
      <c r="H161" s="15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>
      <c r="A162" s="9"/>
      <c r="B162" s="9"/>
      <c r="C162" s="14"/>
      <c r="D162" s="14"/>
      <c r="E162" s="14"/>
      <c r="F162" s="14"/>
      <c r="G162" s="14"/>
      <c r="H162" s="15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>
      <c r="A163" s="9"/>
      <c r="B163" s="9"/>
      <c r="C163" s="14"/>
      <c r="D163" s="14"/>
      <c r="E163" s="14"/>
      <c r="F163" s="14"/>
      <c r="G163" s="14"/>
      <c r="H163" s="15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>
      <c r="A164" s="9"/>
      <c r="B164" s="9"/>
      <c r="C164" s="14"/>
      <c r="D164" s="14"/>
      <c r="E164" s="14"/>
      <c r="F164" s="14"/>
      <c r="G164" s="14"/>
      <c r="H164" s="1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>
      <c r="A165" s="9"/>
      <c r="B165" s="9"/>
      <c r="C165" s="14"/>
      <c r="D165" s="14"/>
      <c r="E165" s="14"/>
      <c r="F165" s="14"/>
      <c r="G165" s="14"/>
      <c r="H165" s="15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>
      <c r="A166" s="9"/>
      <c r="B166" s="9"/>
      <c r="C166" s="14"/>
      <c r="D166" s="14"/>
      <c r="E166" s="14"/>
      <c r="F166" s="14"/>
      <c r="G166" s="14"/>
      <c r="H166" s="1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>
      <c r="A167" s="9"/>
      <c r="B167" s="9"/>
      <c r="C167" s="14"/>
      <c r="D167" s="14"/>
      <c r="E167" s="14"/>
      <c r="F167" s="14"/>
      <c r="G167" s="14"/>
      <c r="H167" s="1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>
      <c r="A168" s="9"/>
      <c r="B168" s="9"/>
      <c r="C168" s="14"/>
      <c r="D168" s="14"/>
      <c r="E168" s="14"/>
      <c r="F168" s="14"/>
      <c r="G168" s="14"/>
      <c r="H168" s="1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>
      <c r="A169" s="9"/>
      <c r="B169" s="9"/>
      <c r="C169" s="14"/>
      <c r="D169" s="14"/>
      <c r="E169" s="14"/>
      <c r="F169" s="14"/>
      <c r="G169" s="14"/>
      <c r="H169" s="1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>
      <c r="A170" s="9"/>
      <c r="B170" s="9"/>
      <c r="C170" s="14"/>
      <c r="D170" s="14"/>
      <c r="E170" s="14"/>
      <c r="F170" s="14"/>
      <c r="G170" s="14"/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>
      <c r="A171" s="9"/>
      <c r="B171" s="9"/>
      <c r="C171" s="14"/>
      <c r="D171" s="14"/>
      <c r="E171" s="14"/>
      <c r="F171" s="14"/>
      <c r="G171" s="14"/>
      <c r="H171" s="15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>
      <c r="A172" s="9"/>
      <c r="B172" s="9"/>
      <c r="C172" s="14"/>
      <c r="D172" s="14"/>
      <c r="E172" s="14"/>
      <c r="F172" s="14"/>
      <c r="G172" s="14"/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>
      <c r="A173" s="9"/>
      <c r="B173" s="9"/>
      <c r="C173" s="14"/>
      <c r="D173" s="14"/>
      <c r="E173" s="14"/>
      <c r="F173" s="14"/>
      <c r="G173" s="14"/>
      <c r="H173" s="15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>
      <c r="A174" s="9"/>
      <c r="B174" s="9"/>
      <c r="C174" s="14"/>
      <c r="D174" s="14"/>
      <c r="E174" s="14"/>
      <c r="F174" s="14"/>
      <c r="G174" s="14"/>
      <c r="H174" s="15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>
      <c r="A175" s="9"/>
      <c r="B175" s="9"/>
      <c r="C175" s="14"/>
      <c r="D175" s="14"/>
      <c r="E175" s="14"/>
      <c r="F175" s="14"/>
      <c r="G175" s="14"/>
      <c r="H175" s="15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>
      <c r="A176" s="9"/>
      <c r="B176" s="9"/>
      <c r="C176" s="14"/>
      <c r="D176" s="14"/>
      <c r="E176" s="14"/>
      <c r="F176" s="14"/>
      <c r="G176" s="14"/>
      <c r="H176" s="15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>
      <c r="A177" s="9"/>
      <c r="B177" s="9"/>
      <c r="C177" s="14"/>
      <c r="D177" s="14"/>
      <c r="E177" s="14"/>
      <c r="F177" s="14"/>
      <c r="G177" s="14"/>
      <c r="H177" s="1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>
      <c r="A178" s="9"/>
      <c r="B178" s="9"/>
      <c r="C178" s="14"/>
      <c r="D178" s="14"/>
      <c r="E178" s="14"/>
      <c r="F178" s="14"/>
      <c r="G178" s="14"/>
      <c r="H178" s="15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>
      <c r="A179" s="9"/>
      <c r="B179" s="9"/>
      <c r="C179" s="14"/>
      <c r="D179" s="14"/>
      <c r="E179" s="14"/>
      <c r="F179" s="14"/>
      <c r="G179" s="14"/>
      <c r="H179" s="1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>
      <c r="A180" s="9"/>
      <c r="B180" s="9"/>
      <c r="C180" s="14"/>
      <c r="D180" s="14"/>
      <c r="E180" s="14"/>
      <c r="F180" s="14"/>
      <c r="G180" s="14"/>
      <c r="H180" s="1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>
      <c r="A181" s="9"/>
      <c r="B181" s="9"/>
      <c r="C181" s="14"/>
      <c r="D181" s="14"/>
      <c r="E181" s="14"/>
      <c r="F181" s="14"/>
      <c r="G181" s="14"/>
      <c r="H181" s="15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>
      <c r="A182" s="9"/>
      <c r="B182" s="9"/>
      <c r="C182" s="14"/>
      <c r="D182" s="14"/>
      <c r="E182" s="14"/>
      <c r="F182" s="14"/>
      <c r="G182" s="14"/>
      <c r="H182" s="15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>
      <c r="A183" s="9"/>
      <c r="B183" s="9"/>
      <c r="C183" s="14"/>
      <c r="D183" s="14"/>
      <c r="E183" s="14"/>
      <c r="F183" s="14"/>
      <c r="G183" s="14"/>
      <c r="H183" s="15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>
      <c r="A184" s="9"/>
      <c r="B184" s="9"/>
      <c r="C184" s="14"/>
      <c r="D184" s="14"/>
      <c r="E184" s="14"/>
      <c r="F184" s="14"/>
      <c r="G184" s="14"/>
      <c r="H184" s="1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>
      <c r="A185" s="9"/>
      <c r="B185" s="9"/>
      <c r="C185" s="14"/>
      <c r="D185" s="14"/>
      <c r="E185" s="14"/>
      <c r="F185" s="14"/>
      <c r="G185" s="14"/>
      <c r="H185" s="1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>
      <c r="A186" s="9"/>
      <c r="B186" s="9"/>
      <c r="C186" s="14"/>
      <c r="D186" s="14"/>
      <c r="E186" s="14"/>
      <c r="F186" s="14"/>
      <c r="G186" s="14"/>
      <c r="H186" s="1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>
      <c r="A187" s="9"/>
      <c r="B187" s="9"/>
      <c r="C187" s="14"/>
      <c r="D187" s="14"/>
      <c r="E187" s="14"/>
      <c r="F187" s="14"/>
      <c r="G187" s="14"/>
      <c r="H187" s="1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>
      <c r="A188" s="9"/>
      <c r="B188" s="9"/>
      <c r="C188" s="14"/>
      <c r="D188" s="14"/>
      <c r="E188" s="14"/>
      <c r="F188" s="14"/>
      <c r="G188" s="14"/>
      <c r="H188" s="1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>
      <c r="A189" s="9"/>
      <c r="B189" s="9"/>
      <c r="C189" s="14"/>
      <c r="D189" s="14"/>
      <c r="E189" s="14"/>
      <c r="F189" s="14"/>
      <c r="G189" s="14"/>
      <c r="H189" s="1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>
      <c r="A190" s="9"/>
      <c r="B190" s="9"/>
      <c r="C190" s="14"/>
      <c r="D190" s="14"/>
      <c r="E190" s="14"/>
      <c r="F190" s="14"/>
      <c r="G190" s="14"/>
      <c r="H190" s="15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>
      <c r="A191" s="9"/>
      <c r="B191" s="9"/>
      <c r="C191" s="14"/>
      <c r="D191" s="14"/>
      <c r="E191" s="14"/>
      <c r="F191" s="14"/>
      <c r="G191" s="14"/>
      <c r="H191" s="1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>
      <c r="A192" s="9"/>
      <c r="B192" s="9"/>
      <c r="C192" s="14"/>
      <c r="D192" s="14"/>
      <c r="E192" s="14"/>
      <c r="F192" s="14"/>
      <c r="G192" s="14"/>
      <c r="H192" s="1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>
      <c r="A193" s="9"/>
      <c r="B193" s="9"/>
      <c r="C193" s="14"/>
      <c r="D193" s="14"/>
      <c r="E193" s="14"/>
      <c r="F193" s="14"/>
      <c r="G193" s="14"/>
      <c r="H193" s="1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>
      <c r="A194" s="9"/>
      <c r="B194" s="9"/>
      <c r="C194" s="14"/>
      <c r="D194" s="14"/>
      <c r="E194" s="14"/>
      <c r="F194" s="14"/>
      <c r="G194" s="14"/>
      <c r="H194" s="15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>
      <c r="A195" s="9"/>
      <c r="B195" s="9"/>
      <c r="C195" s="14"/>
      <c r="D195" s="14"/>
      <c r="E195" s="14"/>
      <c r="F195" s="14"/>
      <c r="G195" s="14"/>
      <c r="H195" s="1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>
      <c r="A196" s="9"/>
      <c r="B196" s="9"/>
      <c r="C196" s="14"/>
      <c r="D196" s="14"/>
      <c r="E196" s="14"/>
      <c r="F196" s="14"/>
      <c r="G196" s="14"/>
      <c r="H196" s="1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>
      <c r="A197" s="9"/>
      <c r="B197" s="9"/>
      <c r="C197" s="14"/>
      <c r="D197" s="14"/>
      <c r="E197" s="14"/>
      <c r="F197" s="14"/>
      <c r="G197" s="14"/>
      <c r="H197" s="15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>
      <c r="A198" s="9"/>
      <c r="B198" s="9"/>
      <c r="C198" s="14"/>
      <c r="D198" s="14"/>
      <c r="E198" s="14"/>
      <c r="F198" s="14"/>
      <c r="G198" s="14"/>
      <c r="H198" s="15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>
      <c r="A199" s="9"/>
      <c r="B199" s="9"/>
      <c r="C199" s="14"/>
      <c r="D199" s="14"/>
      <c r="E199" s="14"/>
      <c r="F199" s="14"/>
      <c r="G199" s="14"/>
      <c r="H199" s="1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>
      <c r="A200" s="9"/>
      <c r="B200" s="9"/>
      <c r="C200" s="14"/>
      <c r="D200" s="14"/>
      <c r="E200" s="14"/>
      <c r="F200" s="14"/>
      <c r="G200" s="14"/>
      <c r="H200" s="1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>
      <c r="A201" s="9"/>
      <c r="B201" s="9"/>
      <c r="C201" s="14"/>
      <c r="D201" s="14"/>
      <c r="E201" s="14"/>
      <c r="F201" s="14"/>
      <c r="G201" s="14"/>
      <c r="H201" s="15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>
      <c r="A202" s="9"/>
      <c r="B202" s="9"/>
      <c r="C202" s="14"/>
      <c r="D202" s="14"/>
      <c r="E202" s="14"/>
      <c r="F202" s="14"/>
      <c r="G202" s="14"/>
      <c r="H202" s="1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>
      <c r="A203" s="9"/>
      <c r="B203" s="9"/>
      <c r="C203" s="14"/>
      <c r="D203" s="14"/>
      <c r="E203" s="14"/>
      <c r="F203" s="14"/>
      <c r="G203" s="14"/>
      <c r="H203" s="15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>
      <c r="A204" s="9"/>
      <c r="B204" s="9"/>
      <c r="C204" s="14"/>
      <c r="D204" s="14"/>
      <c r="E204" s="14"/>
      <c r="F204" s="14"/>
      <c r="G204" s="14"/>
      <c r="H204" s="1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>
      <c r="A205" s="9"/>
      <c r="B205" s="9"/>
      <c r="C205" s="14"/>
      <c r="D205" s="14"/>
      <c r="E205" s="14"/>
      <c r="F205" s="14"/>
      <c r="G205" s="14"/>
      <c r="H205" s="1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>
      <c r="A206" s="9"/>
      <c r="B206" s="9"/>
      <c r="C206" s="14"/>
      <c r="D206" s="14"/>
      <c r="E206" s="14"/>
      <c r="F206" s="14"/>
      <c r="G206" s="14"/>
      <c r="H206" s="15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>
      <c r="A207" s="9"/>
      <c r="B207" s="9"/>
      <c r="C207" s="14"/>
      <c r="D207" s="14"/>
      <c r="E207" s="14"/>
      <c r="F207" s="14"/>
      <c r="G207" s="14"/>
      <c r="H207" s="15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>
      <c r="A208" s="9"/>
      <c r="B208" s="9"/>
      <c r="C208" s="14"/>
      <c r="D208" s="14"/>
      <c r="E208" s="14"/>
      <c r="F208" s="14"/>
      <c r="G208" s="14"/>
      <c r="H208" s="15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>
      <c r="A209" s="9"/>
      <c r="B209" s="9"/>
      <c r="C209" s="14"/>
      <c r="D209" s="14"/>
      <c r="E209" s="14"/>
      <c r="F209" s="14"/>
      <c r="G209" s="14"/>
      <c r="H209" s="15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>
      <c r="A210" s="9"/>
      <c r="B210" s="9"/>
      <c r="C210" s="14"/>
      <c r="D210" s="14"/>
      <c r="E210" s="14"/>
      <c r="F210" s="14"/>
      <c r="G210" s="14"/>
      <c r="H210" s="15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>
      <c r="A211" s="9"/>
      <c r="B211" s="9"/>
      <c r="C211" s="14"/>
      <c r="D211" s="14"/>
      <c r="E211" s="14"/>
      <c r="F211" s="14"/>
      <c r="G211" s="14"/>
      <c r="H211" s="1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>
      <c r="A212" s="9"/>
      <c r="B212" s="9"/>
      <c r="C212" s="14"/>
      <c r="D212" s="14"/>
      <c r="E212" s="14"/>
      <c r="F212" s="14"/>
      <c r="G212" s="14"/>
      <c r="H212" s="1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>
      <c r="A213" s="9"/>
      <c r="B213" s="9"/>
      <c r="C213" s="14"/>
      <c r="D213" s="14"/>
      <c r="E213" s="14"/>
      <c r="F213" s="14"/>
      <c r="G213" s="14"/>
      <c r="H213" s="15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>
      <c r="A214" s="9"/>
      <c r="B214" s="9"/>
      <c r="C214" s="14"/>
      <c r="D214" s="14"/>
      <c r="E214" s="14"/>
      <c r="F214" s="14"/>
      <c r="G214" s="14"/>
      <c r="H214" s="15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>
      <c r="A215" s="9"/>
      <c r="B215" s="9"/>
      <c r="C215" s="14"/>
      <c r="D215" s="14"/>
      <c r="E215" s="14"/>
      <c r="F215" s="14"/>
      <c r="G215" s="14"/>
      <c r="H215" s="1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>
      <c r="A216" s="9"/>
      <c r="B216" s="9"/>
      <c r="C216" s="14"/>
      <c r="D216" s="14"/>
      <c r="E216" s="14"/>
      <c r="F216" s="14"/>
      <c r="G216" s="14"/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>
      <c r="A217" s="9"/>
      <c r="B217" s="9"/>
      <c r="C217" s="14"/>
      <c r="D217" s="14"/>
      <c r="E217" s="14"/>
      <c r="F217" s="14"/>
      <c r="G217" s="14"/>
      <c r="H217" s="1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>
      <c r="A218" s="9"/>
      <c r="B218" s="9"/>
      <c r="C218" s="14"/>
      <c r="D218" s="14"/>
      <c r="E218" s="14"/>
      <c r="F218" s="14"/>
      <c r="G218" s="14"/>
      <c r="H218" s="15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>
      <c r="A219" s="9"/>
      <c r="B219" s="9"/>
      <c r="C219" s="14"/>
      <c r="D219" s="14"/>
      <c r="E219" s="14"/>
      <c r="F219" s="14"/>
      <c r="G219" s="14"/>
      <c r="H219" s="1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>
      <c r="A220" s="9"/>
      <c r="B220" s="9"/>
      <c r="C220" s="14"/>
      <c r="D220" s="14"/>
      <c r="E220" s="14"/>
      <c r="F220" s="14"/>
      <c r="G220" s="14"/>
      <c r="H220" s="1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>
      <c r="A221" s="9"/>
      <c r="B221" s="9"/>
      <c r="C221" s="14"/>
      <c r="D221" s="14"/>
      <c r="E221" s="14"/>
      <c r="F221" s="14"/>
      <c r="G221" s="14"/>
      <c r="H221" s="1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>
      <c r="A222" s="9"/>
      <c r="B222" s="9"/>
      <c r="C222" s="14"/>
      <c r="D222" s="14"/>
      <c r="E222" s="14"/>
      <c r="F222" s="14"/>
      <c r="G222" s="14"/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>
      <c r="A223" s="9"/>
      <c r="B223" s="9"/>
      <c r="C223" s="14"/>
      <c r="D223" s="14"/>
      <c r="E223" s="14"/>
      <c r="F223" s="14"/>
      <c r="G223" s="14"/>
      <c r="H223" s="1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>
      <c r="A224" s="9"/>
      <c r="B224" s="9"/>
      <c r="C224" s="14"/>
      <c r="D224" s="14"/>
      <c r="E224" s="14"/>
      <c r="F224" s="14"/>
      <c r="G224" s="14"/>
      <c r="H224" s="1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>
      <c r="A225" s="9"/>
      <c r="B225" s="9"/>
      <c r="C225" s="14"/>
      <c r="D225" s="14"/>
      <c r="E225" s="14"/>
      <c r="F225" s="14"/>
      <c r="G225" s="14"/>
      <c r="H225" s="1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>
      <c r="A226" s="9"/>
      <c r="B226" s="9"/>
      <c r="C226" s="14"/>
      <c r="D226" s="14"/>
      <c r="E226" s="14"/>
      <c r="F226" s="14"/>
      <c r="G226" s="14"/>
      <c r="H226" s="1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>
      <c r="A227" s="9"/>
      <c r="B227" s="9"/>
      <c r="C227" s="14"/>
      <c r="D227" s="14"/>
      <c r="E227" s="14"/>
      <c r="F227" s="14"/>
      <c r="G227" s="14"/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>
      <c r="A228" s="9"/>
      <c r="B228" s="9"/>
      <c r="C228" s="14"/>
      <c r="D228" s="14"/>
      <c r="E228" s="14"/>
      <c r="F228" s="14"/>
      <c r="G228" s="14"/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>
      <c r="A229" s="9"/>
      <c r="B229" s="9"/>
      <c r="C229" s="14"/>
      <c r="D229" s="14"/>
      <c r="E229" s="14"/>
      <c r="F229" s="14"/>
      <c r="G229" s="14"/>
      <c r="H229" s="15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>
      <c r="A230" s="9"/>
      <c r="B230" s="9"/>
      <c r="C230" s="14"/>
      <c r="D230" s="14"/>
      <c r="E230" s="14"/>
      <c r="F230" s="14"/>
      <c r="G230" s="14"/>
      <c r="H230" s="1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>
      <c r="A231" s="9"/>
      <c r="B231" s="9"/>
      <c r="C231" s="14"/>
      <c r="D231" s="14"/>
      <c r="E231" s="14"/>
      <c r="F231" s="14"/>
      <c r="G231" s="14"/>
      <c r="H231" s="1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>
      <c r="A232" s="9"/>
      <c r="B232" s="9"/>
      <c r="C232" s="14"/>
      <c r="D232" s="14"/>
      <c r="E232" s="14"/>
      <c r="F232" s="14"/>
      <c r="G232" s="14"/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>
      <c r="A233" s="9"/>
      <c r="B233" s="9"/>
      <c r="C233" s="14"/>
      <c r="D233" s="14"/>
      <c r="E233" s="14"/>
      <c r="F233" s="14"/>
      <c r="G233" s="14"/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>
      <c r="A234" s="9"/>
      <c r="B234" s="9"/>
      <c r="C234" s="14"/>
      <c r="D234" s="14"/>
      <c r="E234" s="14"/>
      <c r="F234" s="14"/>
      <c r="G234" s="14"/>
      <c r="H234" s="1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>
      <c r="A235" s="9"/>
      <c r="B235" s="9"/>
      <c r="C235" s="14"/>
      <c r="D235" s="14"/>
      <c r="E235" s="14"/>
      <c r="F235" s="14"/>
      <c r="G235" s="14"/>
      <c r="H235" s="15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>
      <c r="A236" s="9"/>
      <c r="B236" s="9"/>
      <c r="C236" s="14"/>
      <c r="D236" s="14"/>
      <c r="E236" s="14"/>
      <c r="F236" s="14"/>
      <c r="G236" s="14"/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>
      <c r="A237" s="9"/>
      <c r="B237" s="9"/>
      <c r="C237" s="14"/>
      <c r="D237" s="14"/>
      <c r="E237" s="14"/>
      <c r="F237" s="14"/>
      <c r="G237" s="14"/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>
      <c r="A238" s="9"/>
      <c r="B238" s="9"/>
      <c r="C238" s="14"/>
      <c r="D238" s="14"/>
      <c r="E238" s="14"/>
      <c r="F238" s="14"/>
      <c r="G238" s="14"/>
      <c r="H238" s="1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>
      <c r="A239" s="9"/>
      <c r="B239" s="9"/>
      <c r="C239" s="14"/>
      <c r="D239" s="14"/>
      <c r="E239" s="14"/>
      <c r="F239" s="14"/>
      <c r="G239" s="14"/>
      <c r="H239" s="1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>
      <c r="A240" s="9"/>
      <c r="B240" s="9"/>
      <c r="C240" s="14"/>
      <c r="D240" s="14"/>
      <c r="E240" s="14"/>
      <c r="F240" s="14"/>
      <c r="G240" s="14"/>
      <c r="H240" s="1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>
      <c r="A241" s="9"/>
      <c r="B241" s="9"/>
      <c r="C241" s="14"/>
      <c r="D241" s="14"/>
      <c r="E241" s="14"/>
      <c r="F241" s="14"/>
      <c r="G241" s="14"/>
      <c r="H241" s="15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>
      <c r="A242" s="9"/>
      <c r="B242" s="9"/>
      <c r="C242" s="14"/>
      <c r="D242" s="14"/>
      <c r="E242" s="14"/>
      <c r="F242" s="14"/>
      <c r="G242" s="14"/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>
      <c r="A243" s="9"/>
      <c r="B243" s="9"/>
      <c r="C243" s="14"/>
      <c r="D243" s="14"/>
      <c r="E243" s="14"/>
      <c r="F243" s="14"/>
      <c r="G243" s="14"/>
      <c r="H243" s="1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>
      <c r="A244" s="9"/>
      <c r="B244" s="9"/>
      <c r="C244" s="14"/>
      <c r="D244" s="14"/>
      <c r="E244" s="14"/>
      <c r="F244" s="14"/>
      <c r="G244" s="14"/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>
      <c r="A245" s="9"/>
      <c r="B245" s="9"/>
      <c r="C245" s="14"/>
      <c r="D245" s="14"/>
      <c r="E245" s="14"/>
      <c r="F245" s="14"/>
      <c r="G245" s="14"/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>
      <c r="A246" s="9"/>
      <c r="B246" s="9"/>
      <c r="C246" s="14"/>
      <c r="D246" s="14"/>
      <c r="E246" s="14"/>
      <c r="F246" s="14"/>
      <c r="G246" s="14"/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>
      <c r="A247" s="9"/>
      <c r="B247" s="9"/>
      <c r="C247" s="14"/>
      <c r="D247" s="14"/>
      <c r="E247" s="14"/>
      <c r="F247" s="14"/>
      <c r="G247" s="14"/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>
      <c r="A248" s="9"/>
      <c r="B248" s="9"/>
      <c r="C248" s="14"/>
      <c r="D248" s="14"/>
      <c r="E248" s="14"/>
      <c r="F248" s="14"/>
      <c r="G248" s="14"/>
      <c r="H248" s="1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>
      <c r="A249" s="9"/>
      <c r="B249" s="9"/>
      <c r="C249" s="14"/>
      <c r="D249" s="14"/>
      <c r="E249" s="14"/>
      <c r="F249" s="14"/>
      <c r="G249" s="14"/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>
      <c r="A250" s="9"/>
      <c r="B250" s="9"/>
      <c r="C250" s="14"/>
      <c r="D250" s="14"/>
      <c r="E250" s="14"/>
      <c r="F250" s="14"/>
      <c r="G250" s="14"/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>
      <c r="A251" s="9"/>
      <c r="B251" s="9"/>
      <c r="C251" s="14"/>
      <c r="D251" s="14"/>
      <c r="E251" s="14"/>
      <c r="F251" s="14"/>
      <c r="G251" s="14"/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>
      <c r="A252" s="9"/>
      <c r="B252" s="9"/>
      <c r="C252" s="14"/>
      <c r="D252" s="14"/>
      <c r="E252" s="14"/>
      <c r="F252" s="14"/>
      <c r="G252" s="14"/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>
      <c r="A253" s="9"/>
      <c r="B253" s="9"/>
      <c r="C253" s="14"/>
      <c r="D253" s="14"/>
      <c r="E253" s="14"/>
      <c r="F253" s="14"/>
      <c r="G253" s="14"/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>
      <c r="A254" s="9"/>
      <c r="B254" s="9"/>
      <c r="C254" s="14"/>
      <c r="D254" s="14"/>
      <c r="E254" s="14"/>
      <c r="F254" s="14"/>
      <c r="G254" s="14"/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>
      <c r="A255" s="9"/>
      <c r="B255" s="9"/>
      <c r="C255" s="14"/>
      <c r="D255" s="14"/>
      <c r="E255" s="14"/>
      <c r="F255" s="14"/>
      <c r="G255" s="14"/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>
      <c r="A256" s="9"/>
      <c r="B256" s="9"/>
      <c r="C256" s="14"/>
      <c r="D256" s="14"/>
      <c r="E256" s="14"/>
      <c r="F256" s="14"/>
      <c r="G256" s="14"/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>
      <c r="A257" s="9"/>
      <c r="B257" s="9"/>
      <c r="C257" s="14"/>
      <c r="D257" s="14"/>
      <c r="E257" s="14"/>
      <c r="F257" s="14"/>
      <c r="G257" s="14"/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>
      <c r="A258" s="9"/>
      <c r="B258" s="9"/>
      <c r="C258" s="14"/>
      <c r="D258" s="14"/>
      <c r="E258" s="14"/>
      <c r="F258" s="14"/>
      <c r="G258" s="14"/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>
      <c r="A259" s="9"/>
      <c r="B259" s="9"/>
      <c r="C259" s="14"/>
      <c r="D259" s="14"/>
      <c r="E259" s="14"/>
      <c r="F259" s="14"/>
      <c r="G259" s="14"/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>
      <c r="A260" s="9"/>
      <c r="B260" s="9"/>
      <c r="C260" s="14"/>
      <c r="D260" s="14"/>
      <c r="E260" s="14"/>
      <c r="F260" s="14"/>
      <c r="G260" s="14"/>
      <c r="H260" s="15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>
      <c r="A261" s="9"/>
      <c r="B261" s="9"/>
      <c r="C261" s="14"/>
      <c r="D261" s="14"/>
      <c r="E261" s="14"/>
      <c r="F261" s="14"/>
      <c r="G261" s="14"/>
      <c r="H261" s="15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>
      <c r="A262" s="9"/>
      <c r="B262" s="9"/>
      <c r="C262" s="14"/>
      <c r="D262" s="14"/>
      <c r="E262" s="14"/>
      <c r="F262" s="14"/>
      <c r="G262" s="14"/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>
      <c r="A263" s="9"/>
      <c r="B263" s="9"/>
      <c r="C263" s="14"/>
      <c r="D263" s="14"/>
      <c r="E263" s="14"/>
      <c r="F263" s="14"/>
      <c r="G263" s="14"/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>
      <c r="A264" s="9"/>
      <c r="B264" s="9"/>
      <c r="C264" s="14"/>
      <c r="D264" s="14"/>
      <c r="E264" s="14"/>
      <c r="F264" s="14"/>
      <c r="G264" s="14"/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>
      <c r="A265" s="9"/>
      <c r="B265" s="9"/>
      <c r="C265" s="14"/>
      <c r="D265" s="14"/>
      <c r="E265" s="14"/>
      <c r="F265" s="14"/>
      <c r="G265" s="14"/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>
      <c r="A266" s="9"/>
      <c r="B266" s="9"/>
      <c r="C266" s="14"/>
      <c r="D266" s="14"/>
      <c r="E266" s="14"/>
      <c r="F266" s="14"/>
      <c r="G266" s="14"/>
      <c r="H266" s="1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>
      <c r="A267" s="9"/>
      <c r="B267" s="9"/>
      <c r="C267" s="14"/>
      <c r="D267" s="14"/>
      <c r="E267" s="14"/>
      <c r="F267" s="14"/>
      <c r="G267" s="14"/>
      <c r="H267" s="1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>
      <c r="A268" s="9"/>
      <c r="B268" s="9"/>
      <c r="C268" s="14"/>
      <c r="D268" s="14"/>
      <c r="E268" s="14"/>
      <c r="F268" s="14"/>
      <c r="G268" s="14"/>
      <c r="H268" s="1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>
      <c r="A269" s="9"/>
      <c r="B269" s="9"/>
      <c r="C269" s="14"/>
      <c r="D269" s="14"/>
      <c r="E269" s="14"/>
      <c r="F269" s="14"/>
      <c r="G269" s="14"/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>
      <c r="A270" s="9"/>
      <c r="B270" s="9"/>
      <c r="C270" s="14"/>
      <c r="D270" s="14"/>
      <c r="E270" s="14"/>
      <c r="F270" s="14"/>
      <c r="G270" s="14"/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>
      <c r="A271" s="9"/>
      <c r="B271" s="9"/>
      <c r="C271" s="14"/>
      <c r="D271" s="14"/>
      <c r="E271" s="14"/>
      <c r="F271" s="14"/>
      <c r="G271" s="14"/>
      <c r="H271" s="1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>
      <c r="A272" s="9"/>
      <c r="B272" s="9"/>
      <c r="C272" s="14"/>
      <c r="D272" s="14"/>
      <c r="E272" s="14"/>
      <c r="F272" s="14"/>
      <c r="G272" s="14"/>
      <c r="H272" s="15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>
      <c r="A273" s="9"/>
      <c r="B273" s="9"/>
      <c r="C273" s="14"/>
      <c r="D273" s="14"/>
      <c r="E273" s="14"/>
      <c r="F273" s="14"/>
      <c r="G273" s="14"/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>
      <c r="A274" s="9"/>
      <c r="B274" s="9"/>
      <c r="C274" s="14"/>
      <c r="D274" s="14"/>
      <c r="E274" s="14"/>
      <c r="F274" s="14"/>
      <c r="G274" s="14"/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>
      <c r="A275" s="9"/>
      <c r="B275" s="9"/>
      <c r="C275" s="14"/>
      <c r="D275" s="14"/>
      <c r="E275" s="14"/>
      <c r="F275" s="14"/>
      <c r="G275" s="14"/>
      <c r="H275" s="15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>
      <c r="A276" s="9"/>
      <c r="B276" s="9"/>
      <c r="C276" s="14"/>
      <c r="D276" s="14"/>
      <c r="E276" s="14"/>
      <c r="F276" s="14"/>
      <c r="G276" s="14"/>
      <c r="H276" s="15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>
      <c r="A277" s="9"/>
      <c r="B277" s="9"/>
      <c r="C277" s="14"/>
      <c r="D277" s="14"/>
      <c r="E277" s="14"/>
      <c r="F277" s="14"/>
      <c r="G277" s="14"/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>
      <c r="A278" s="9"/>
      <c r="B278" s="9"/>
      <c r="C278" s="14"/>
      <c r="D278" s="14"/>
      <c r="E278" s="14"/>
      <c r="F278" s="14"/>
      <c r="G278" s="14"/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>
      <c r="A279" s="9"/>
      <c r="B279" s="9"/>
      <c r="C279" s="14"/>
      <c r="D279" s="14"/>
      <c r="E279" s="14"/>
      <c r="F279" s="14"/>
      <c r="G279" s="14"/>
      <c r="H279" s="1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>
      <c r="A280" s="9"/>
      <c r="B280" s="9"/>
      <c r="C280" s="14"/>
      <c r="D280" s="14"/>
      <c r="E280" s="14"/>
      <c r="F280" s="14"/>
      <c r="G280" s="14"/>
      <c r="H280" s="15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>
      <c r="A281" s="9"/>
      <c r="B281" s="9"/>
      <c r="C281" s="14"/>
      <c r="D281" s="14"/>
      <c r="E281" s="14"/>
      <c r="F281" s="14"/>
      <c r="G281" s="14"/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>
      <c r="A282" s="9"/>
      <c r="B282" s="9"/>
      <c r="C282" s="14"/>
      <c r="D282" s="14"/>
      <c r="E282" s="14"/>
      <c r="F282" s="14"/>
      <c r="G282" s="14"/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>
      <c r="A283" s="9"/>
      <c r="B283" s="9"/>
      <c r="C283" s="14"/>
      <c r="D283" s="14"/>
      <c r="E283" s="14"/>
      <c r="F283" s="14"/>
      <c r="G283" s="14"/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>
      <c r="A284" s="9"/>
      <c r="B284" s="9"/>
      <c r="C284" s="14"/>
      <c r="D284" s="14"/>
      <c r="E284" s="14"/>
      <c r="F284" s="14"/>
      <c r="G284" s="14"/>
      <c r="H284" s="15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>
      <c r="A285" s="9"/>
      <c r="B285" s="9"/>
      <c r="C285" s="14"/>
      <c r="D285" s="14"/>
      <c r="E285" s="14"/>
      <c r="F285" s="14"/>
      <c r="G285" s="14"/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>
      <c r="A286" s="9"/>
      <c r="B286" s="9"/>
      <c r="C286" s="14"/>
      <c r="D286" s="14"/>
      <c r="E286" s="14"/>
      <c r="F286" s="14"/>
      <c r="G286" s="14"/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>
      <c r="A287" s="9"/>
      <c r="B287" s="9"/>
      <c r="C287" s="14"/>
      <c r="D287" s="14"/>
      <c r="E287" s="14"/>
      <c r="F287" s="14"/>
      <c r="G287" s="14"/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>
      <c r="A288" s="9"/>
      <c r="B288" s="9"/>
      <c r="C288" s="14"/>
      <c r="D288" s="14"/>
      <c r="E288" s="14"/>
      <c r="F288" s="14"/>
      <c r="G288" s="14"/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>
      <c r="A289" s="9"/>
      <c r="B289" s="9"/>
      <c r="C289" s="14"/>
      <c r="D289" s="14"/>
      <c r="E289" s="14"/>
      <c r="F289" s="14"/>
      <c r="G289" s="14"/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>
      <c r="A290" s="9"/>
      <c r="B290" s="9"/>
      <c r="C290" s="14"/>
      <c r="D290" s="14"/>
      <c r="E290" s="14"/>
      <c r="F290" s="14"/>
      <c r="G290" s="14"/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>
      <c r="A291" s="9"/>
      <c r="B291" s="9"/>
      <c r="C291" s="14"/>
      <c r="D291" s="14"/>
      <c r="E291" s="14"/>
      <c r="F291" s="14"/>
      <c r="G291" s="14"/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>
      <c r="A292" s="9"/>
      <c r="B292" s="9"/>
      <c r="C292" s="14"/>
      <c r="D292" s="14"/>
      <c r="E292" s="14"/>
      <c r="F292" s="14"/>
      <c r="G292" s="14"/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>
      <c r="A293" s="9"/>
      <c r="B293" s="9"/>
      <c r="C293" s="14"/>
      <c r="D293" s="14"/>
      <c r="E293" s="14"/>
      <c r="F293" s="14"/>
      <c r="G293" s="14"/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>
      <c r="A294" s="9"/>
      <c r="B294" s="9"/>
      <c r="C294" s="14"/>
      <c r="D294" s="14"/>
      <c r="E294" s="14"/>
      <c r="F294" s="14"/>
      <c r="G294" s="14"/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>
      <c r="A295" s="9"/>
      <c r="B295" s="9"/>
      <c r="C295" s="14"/>
      <c r="D295" s="14"/>
      <c r="E295" s="14"/>
      <c r="F295" s="14"/>
      <c r="G295" s="14"/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>
      <c r="A296" s="9"/>
      <c r="B296" s="9"/>
      <c r="C296" s="14"/>
      <c r="D296" s="14"/>
      <c r="E296" s="14"/>
      <c r="F296" s="14"/>
      <c r="G296" s="14"/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>
      <c r="A297" s="9"/>
      <c r="B297" s="9"/>
      <c r="C297" s="14"/>
      <c r="D297" s="14"/>
      <c r="E297" s="14"/>
      <c r="F297" s="14"/>
      <c r="G297" s="14"/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>
      <c r="A298" s="9"/>
      <c r="B298" s="9"/>
      <c r="C298" s="14"/>
      <c r="D298" s="14"/>
      <c r="E298" s="14"/>
      <c r="F298" s="14"/>
      <c r="G298" s="14"/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>
      <c r="A299" s="9"/>
      <c r="B299" s="9"/>
      <c r="C299" s="14"/>
      <c r="D299" s="14"/>
      <c r="E299" s="14"/>
      <c r="F299" s="14"/>
      <c r="G299" s="14"/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>
      <c r="A300" s="9"/>
      <c r="B300" s="9"/>
      <c r="C300" s="14"/>
      <c r="D300" s="14"/>
      <c r="E300" s="14"/>
      <c r="F300" s="14"/>
      <c r="G300" s="14"/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>
      <c r="A301" s="9"/>
      <c r="B301" s="9"/>
      <c r="C301" s="14"/>
      <c r="D301" s="14"/>
      <c r="E301" s="14"/>
      <c r="F301" s="14"/>
      <c r="G301" s="14"/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>
      <c r="A302" s="9"/>
      <c r="B302" s="9"/>
      <c r="C302" s="14"/>
      <c r="D302" s="14"/>
      <c r="E302" s="14"/>
      <c r="F302" s="14"/>
      <c r="G302" s="14"/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>
      <c r="A303" s="9"/>
      <c r="B303" s="9"/>
      <c r="C303" s="14"/>
      <c r="D303" s="14"/>
      <c r="E303" s="14"/>
      <c r="F303" s="14"/>
      <c r="G303" s="14"/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>
      <c r="A304" s="9"/>
      <c r="B304" s="9"/>
      <c r="C304" s="14"/>
      <c r="D304" s="14"/>
      <c r="E304" s="14"/>
      <c r="F304" s="14"/>
      <c r="G304" s="14"/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>
      <c r="A305" s="9"/>
      <c r="B305" s="9"/>
      <c r="C305" s="14"/>
      <c r="D305" s="14"/>
      <c r="E305" s="14"/>
      <c r="F305" s="14"/>
      <c r="G305" s="14"/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>
      <c r="A306" s="9"/>
      <c r="B306" s="9"/>
      <c r="C306" s="14"/>
      <c r="D306" s="14"/>
      <c r="E306" s="14"/>
      <c r="F306" s="14"/>
      <c r="G306" s="14"/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>
      <c r="A307" s="9"/>
      <c r="B307" s="9"/>
      <c r="C307" s="14"/>
      <c r="D307" s="14"/>
      <c r="E307" s="14"/>
      <c r="F307" s="14"/>
      <c r="G307" s="14"/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>
      <c r="A308" s="9"/>
      <c r="B308" s="9"/>
      <c r="C308" s="14"/>
      <c r="D308" s="14"/>
      <c r="E308" s="14"/>
      <c r="F308" s="14"/>
      <c r="G308" s="14"/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>
      <c r="A309" s="9"/>
      <c r="B309" s="9"/>
      <c r="C309" s="14"/>
      <c r="D309" s="14"/>
      <c r="E309" s="14"/>
      <c r="F309" s="14"/>
      <c r="G309" s="14"/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>
      <c r="A310" s="9"/>
      <c r="B310" s="9"/>
      <c r="C310" s="14"/>
      <c r="D310" s="14"/>
      <c r="E310" s="14"/>
      <c r="F310" s="14"/>
      <c r="G310" s="14"/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>
      <c r="A311" s="9"/>
      <c r="B311" s="9"/>
      <c r="C311" s="14"/>
      <c r="D311" s="14"/>
      <c r="E311" s="14"/>
      <c r="F311" s="14"/>
      <c r="G311" s="14"/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>
      <c r="A312" s="9"/>
      <c r="B312" s="9"/>
      <c r="C312" s="14"/>
      <c r="D312" s="14"/>
      <c r="E312" s="14"/>
      <c r="F312" s="14"/>
      <c r="G312" s="14"/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>
      <c r="A313" s="9"/>
      <c r="B313" s="9"/>
      <c r="C313" s="14"/>
      <c r="D313" s="14"/>
      <c r="E313" s="14"/>
      <c r="F313" s="14"/>
      <c r="G313" s="14"/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>
      <c r="A314" s="9"/>
      <c r="B314" s="9"/>
      <c r="C314" s="14"/>
      <c r="D314" s="14"/>
      <c r="E314" s="14"/>
      <c r="F314" s="14"/>
      <c r="G314" s="14"/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>
      <c r="A315" s="9"/>
      <c r="B315" s="9"/>
      <c r="C315" s="14"/>
      <c r="D315" s="14"/>
      <c r="E315" s="14"/>
      <c r="F315" s="14"/>
      <c r="G315" s="14"/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>
      <c r="A316" s="9"/>
      <c r="B316" s="9"/>
      <c r="C316" s="14"/>
      <c r="D316" s="14"/>
      <c r="E316" s="14"/>
      <c r="F316" s="14"/>
      <c r="G316" s="14"/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>
      <c r="A317" s="9"/>
      <c r="B317" s="9"/>
      <c r="C317" s="14"/>
      <c r="D317" s="14"/>
      <c r="E317" s="14"/>
      <c r="F317" s="14"/>
      <c r="G317" s="14"/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>
      <c r="A318" s="9"/>
      <c r="B318" s="9"/>
      <c r="C318" s="14"/>
      <c r="D318" s="14"/>
      <c r="E318" s="14"/>
      <c r="F318" s="14"/>
      <c r="G318" s="14"/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>
      <c r="A319" s="9"/>
      <c r="B319" s="9"/>
      <c r="C319" s="14"/>
      <c r="D319" s="14"/>
      <c r="E319" s="14"/>
      <c r="F319" s="14"/>
      <c r="G319" s="14"/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>
      <c r="A320" s="9"/>
      <c r="B320" s="9"/>
      <c r="C320" s="14"/>
      <c r="D320" s="14"/>
      <c r="E320" s="14"/>
      <c r="F320" s="14"/>
      <c r="G320" s="14"/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>
      <c r="A321" s="9"/>
      <c r="B321" s="9"/>
      <c r="C321" s="14"/>
      <c r="D321" s="14"/>
      <c r="E321" s="14"/>
      <c r="F321" s="14"/>
      <c r="G321" s="14"/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>
      <c r="A322" s="9"/>
      <c r="B322" s="9"/>
      <c r="C322" s="14"/>
      <c r="D322" s="14"/>
      <c r="E322" s="14"/>
      <c r="F322" s="14"/>
      <c r="G322" s="14"/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>
      <c r="A323" s="9"/>
      <c r="B323" s="9"/>
      <c r="C323" s="14"/>
      <c r="D323" s="14"/>
      <c r="E323" s="14"/>
      <c r="F323" s="14"/>
      <c r="G323" s="14"/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>
      <c r="A324" s="9"/>
      <c r="B324" s="9"/>
      <c r="C324" s="14"/>
      <c r="D324" s="14"/>
      <c r="E324" s="14"/>
      <c r="F324" s="14"/>
      <c r="G324" s="14"/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>
      <c r="A325" s="9"/>
      <c r="B325" s="9"/>
      <c r="C325" s="14"/>
      <c r="D325" s="14"/>
      <c r="E325" s="14"/>
      <c r="F325" s="14"/>
      <c r="G325" s="14"/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>
      <c r="A326" s="9"/>
      <c r="B326" s="9"/>
      <c r="C326" s="14"/>
      <c r="D326" s="14"/>
      <c r="E326" s="14"/>
      <c r="F326" s="14"/>
      <c r="G326" s="14"/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>
      <c r="A327" s="9"/>
      <c r="B327" s="9"/>
      <c r="C327" s="14"/>
      <c r="D327" s="14"/>
      <c r="E327" s="14"/>
      <c r="F327" s="14"/>
      <c r="G327" s="14"/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>
      <c r="A328" s="9"/>
      <c r="B328" s="9"/>
      <c r="C328" s="14"/>
      <c r="D328" s="14"/>
      <c r="E328" s="14"/>
      <c r="F328" s="14"/>
      <c r="G328" s="14"/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>
      <c r="A329" s="9"/>
      <c r="B329" s="9"/>
      <c r="C329" s="14"/>
      <c r="D329" s="14"/>
      <c r="E329" s="14"/>
      <c r="F329" s="14"/>
      <c r="G329" s="14"/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>
      <c r="A330" s="9"/>
      <c r="B330" s="9"/>
      <c r="C330" s="14"/>
      <c r="D330" s="14"/>
      <c r="E330" s="14"/>
      <c r="F330" s="14"/>
      <c r="G330" s="14"/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>
      <c r="A331" s="9"/>
      <c r="B331" s="9"/>
      <c r="C331" s="14"/>
      <c r="D331" s="14"/>
      <c r="E331" s="14"/>
      <c r="F331" s="14"/>
      <c r="G331" s="14"/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>
      <c r="A332" s="9"/>
      <c r="B332" s="9"/>
      <c r="C332" s="14"/>
      <c r="D332" s="14"/>
      <c r="E332" s="14"/>
      <c r="F332" s="14"/>
      <c r="G332" s="14"/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>
      <c r="A333" s="9"/>
      <c r="B333" s="9"/>
      <c r="C333" s="14"/>
      <c r="D333" s="14"/>
      <c r="E333" s="14"/>
      <c r="F333" s="14"/>
      <c r="G333" s="14"/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>
      <c r="A334" s="9"/>
      <c r="B334" s="9"/>
      <c r="C334" s="14"/>
      <c r="D334" s="14"/>
      <c r="E334" s="14"/>
      <c r="F334" s="14"/>
      <c r="G334" s="14"/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>
      <c r="A335" s="9"/>
      <c r="B335" s="9"/>
      <c r="C335" s="14"/>
      <c r="D335" s="14"/>
      <c r="E335" s="14"/>
      <c r="F335" s="14"/>
      <c r="G335" s="14"/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>
      <c r="A336" s="9"/>
      <c r="B336" s="9"/>
      <c r="C336" s="14"/>
      <c r="D336" s="14"/>
      <c r="E336" s="14"/>
      <c r="F336" s="14"/>
      <c r="G336" s="14"/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>
      <c r="A337" s="9"/>
      <c r="B337" s="9"/>
      <c r="C337" s="14"/>
      <c r="D337" s="14"/>
      <c r="E337" s="14"/>
      <c r="F337" s="14"/>
      <c r="G337" s="14"/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>
      <c r="A338" s="9"/>
      <c r="B338" s="9"/>
      <c r="C338" s="14"/>
      <c r="D338" s="14"/>
      <c r="E338" s="14"/>
      <c r="F338" s="14"/>
      <c r="G338" s="14"/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>
      <c r="A339" s="9"/>
      <c r="B339" s="9"/>
      <c r="C339" s="14"/>
      <c r="D339" s="14"/>
      <c r="E339" s="14"/>
      <c r="F339" s="14"/>
      <c r="G339" s="14"/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>
      <c r="A340" s="9"/>
      <c r="B340" s="9"/>
      <c r="C340" s="14"/>
      <c r="D340" s="14"/>
      <c r="E340" s="14"/>
      <c r="F340" s="14"/>
      <c r="G340" s="14"/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>
      <c r="A341" s="9"/>
      <c r="B341" s="9"/>
      <c r="C341" s="14"/>
      <c r="D341" s="14"/>
      <c r="E341" s="14"/>
      <c r="F341" s="14"/>
      <c r="G341" s="14"/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>
      <c r="A342" s="9"/>
      <c r="B342" s="9"/>
      <c r="C342" s="14"/>
      <c r="D342" s="14"/>
      <c r="E342" s="14"/>
      <c r="F342" s="14"/>
      <c r="G342" s="14"/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>
      <c r="A343" s="9"/>
      <c r="B343" s="9"/>
      <c r="C343" s="14"/>
      <c r="D343" s="14"/>
      <c r="E343" s="14"/>
      <c r="F343" s="14"/>
      <c r="G343" s="14"/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>
      <c r="A344" s="9"/>
      <c r="B344" s="9"/>
      <c r="C344" s="14"/>
      <c r="D344" s="14"/>
      <c r="E344" s="14"/>
      <c r="F344" s="14"/>
      <c r="G344" s="14"/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>
      <c r="A345" s="9"/>
      <c r="B345" s="9"/>
      <c r="C345" s="14"/>
      <c r="D345" s="14"/>
      <c r="E345" s="14"/>
      <c r="F345" s="14"/>
      <c r="G345" s="14"/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>
      <c r="A346" s="9"/>
      <c r="B346" s="9"/>
      <c r="C346" s="14"/>
      <c r="D346" s="14"/>
      <c r="E346" s="14"/>
      <c r="F346" s="14"/>
      <c r="G346" s="14"/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>
      <c r="A347" s="9"/>
      <c r="B347" s="9"/>
      <c r="C347" s="14"/>
      <c r="D347" s="14"/>
      <c r="E347" s="14"/>
      <c r="F347" s="14"/>
      <c r="G347" s="14"/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>
      <c r="A348" s="9"/>
      <c r="B348" s="9"/>
      <c r="C348" s="14"/>
      <c r="D348" s="14"/>
      <c r="E348" s="14"/>
      <c r="F348" s="14"/>
      <c r="G348" s="14"/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>
      <c r="A349" s="9"/>
      <c r="B349" s="9"/>
      <c r="C349" s="14"/>
      <c r="D349" s="14"/>
      <c r="E349" s="14"/>
      <c r="F349" s="14"/>
      <c r="G349" s="14"/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>
      <c r="A350" s="9"/>
      <c r="B350" s="9"/>
      <c r="C350" s="14"/>
      <c r="D350" s="14"/>
      <c r="E350" s="14"/>
      <c r="F350" s="14"/>
      <c r="G350" s="14"/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>
      <c r="A351" s="9"/>
      <c r="B351" s="9"/>
      <c r="C351" s="14"/>
      <c r="D351" s="14"/>
      <c r="E351" s="14"/>
      <c r="F351" s="14"/>
      <c r="G351" s="14"/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>
      <c r="A352" s="9"/>
      <c r="B352" s="9"/>
      <c r="C352" s="14"/>
      <c r="D352" s="14"/>
      <c r="E352" s="14"/>
      <c r="F352" s="14"/>
      <c r="G352" s="14"/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>
      <c r="A353" s="9"/>
      <c r="B353" s="9"/>
      <c r="C353" s="14"/>
      <c r="D353" s="14"/>
      <c r="E353" s="14"/>
      <c r="F353" s="14"/>
      <c r="G353" s="14"/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>
      <c r="A354" s="9"/>
      <c r="B354" s="9"/>
      <c r="C354" s="14"/>
      <c r="D354" s="14"/>
      <c r="E354" s="14"/>
      <c r="F354" s="14"/>
      <c r="G354" s="14"/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>
      <c r="A355" s="9"/>
      <c r="B355" s="9"/>
      <c r="C355" s="14"/>
      <c r="D355" s="14"/>
      <c r="E355" s="14"/>
      <c r="F355" s="14"/>
      <c r="G355" s="14"/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>
      <c r="A356" s="9"/>
      <c r="B356" s="9"/>
      <c r="C356" s="14"/>
      <c r="D356" s="14"/>
      <c r="E356" s="14"/>
      <c r="F356" s="14"/>
      <c r="G356" s="14"/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>
      <c r="A357" s="9"/>
      <c r="B357" s="9"/>
      <c r="C357" s="14"/>
      <c r="D357" s="14"/>
      <c r="E357" s="14"/>
      <c r="F357" s="14"/>
      <c r="G357" s="14"/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>
      <c r="A358" s="9"/>
      <c r="B358" s="9"/>
      <c r="C358" s="14"/>
      <c r="D358" s="14"/>
      <c r="E358" s="14"/>
      <c r="F358" s="14"/>
      <c r="G358" s="14"/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>
      <c r="A359" s="9"/>
      <c r="B359" s="9"/>
      <c r="C359" s="14"/>
      <c r="D359" s="14"/>
      <c r="E359" s="14"/>
      <c r="F359" s="14"/>
      <c r="G359" s="14"/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>
      <c r="A360" s="9"/>
      <c r="B360" s="9"/>
      <c r="C360" s="14"/>
      <c r="D360" s="14"/>
      <c r="E360" s="14"/>
      <c r="F360" s="14"/>
      <c r="G360" s="14"/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>
      <c r="A361" s="9"/>
      <c r="B361" s="9"/>
      <c r="C361" s="14"/>
      <c r="D361" s="14"/>
      <c r="E361" s="14"/>
      <c r="F361" s="14"/>
      <c r="G361" s="14"/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>
      <c r="A362" s="9"/>
      <c r="B362" s="9"/>
      <c r="C362" s="14"/>
      <c r="D362" s="14"/>
      <c r="E362" s="14"/>
      <c r="F362" s="14"/>
      <c r="G362" s="14"/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>
      <c r="A363" s="9"/>
      <c r="B363" s="9"/>
      <c r="C363" s="14"/>
      <c r="D363" s="14"/>
      <c r="E363" s="14"/>
      <c r="F363" s="14"/>
      <c r="G363" s="14"/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>
      <c r="A364" s="9"/>
      <c r="B364" s="9"/>
      <c r="C364" s="14"/>
      <c r="D364" s="14"/>
      <c r="E364" s="14"/>
      <c r="F364" s="14"/>
      <c r="G364" s="14"/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>
      <c r="A365" s="9"/>
      <c r="B365" s="9"/>
      <c r="C365" s="14"/>
      <c r="D365" s="14"/>
      <c r="E365" s="14"/>
      <c r="F365" s="14"/>
      <c r="G365" s="14"/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>
      <c r="A366" s="9"/>
      <c r="B366" s="9"/>
      <c r="C366" s="14"/>
      <c r="D366" s="14"/>
      <c r="E366" s="14"/>
      <c r="F366" s="14"/>
      <c r="G366" s="14"/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>
      <c r="A367" s="9"/>
      <c r="B367" s="9"/>
      <c r="C367" s="14"/>
      <c r="D367" s="14"/>
      <c r="E367" s="14"/>
      <c r="F367" s="14"/>
      <c r="G367" s="14"/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>
      <c r="A368" s="9"/>
      <c r="B368" s="9"/>
      <c r="C368" s="14"/>
      <c r="D368" s="14"/>
      <c r="E368" s="14"/>
      <c r="F368" s="14"/>
      <c r="G368" s="14"/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>
      <c r="A369" s="9"/>
      <c r="B369" s="9"/>
      <c r="C369" s="14"/>
      <c r="D369" s="14"/>
      <c r="E369" s="14"/>
      <c r="F369" s="14"/>
      <c r="G369" s="14"/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>
      <c r="A370" s="9"/>
      <c r="B370" s="9"/>
      <c r="C370" s="14"/>
      <c r="D370" s="14"/>
      <c r="E370" s="14"/>
      <c r="F370" s="14"/>
      <c r="G370" s="14"/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>
      <c r="A371" s="9"/>
      <c r="B371" s="9"/>
      <c r="C371" s="14"/>
      <c r="D371" s="14"/>
      <c r="E371" s="14"/>
      <c r="F371" s="14"/>
      <c r="G371" s="14"/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>
      <c r="A372" s="9"/>
      <c r="B372" s="9"/>
      <c r="C372" s="14"/>
      <c r="D372" s="14"/>
      <c r="E372" s="14"/>
      <c r="F372" s="14"/>
      <c r="G372" s="14"/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>
      <c r="A373" s="9"/>
      <c r="B373" s="9"/>
      <c r="C373" s="14"/>
      <c r="D373" s="14"/>
      <c r="E373" s="14"/>
      <c r="F373" s="14"/>
      <c r="G373" s="14"/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>
      <c r="A374" s="9"/>
      <c r="B374" s="9"/>
      <c r="C374" s="14"/>
      <c r="D374" s="14"/>
      <c r="E374" s="14"/>
      <c r="F374" s="14"/>
      <c r="G374" s="14"/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>
      <c r="A375" s="9"/>
      <c r="B375" s="9"/>
      <c r="C375" s="14"/>
      <c r="D375" s="14"/>
      <c r="E375" s="14"/>
      <c r="F375" s="14"/>
      <c r="G375" s="14"/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>
      <c r="A376" s="9"/>
      <c r="B376" s="9"/>
      <c r="C376" s="14"/>
      <c r="D376" s="14"/>
      <c r="E376" s="14"/>
      <c r="F376" s="14"/>
      <c r="G376" s="14"/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>
      <c r="A377" s="9"/>
      <c r="B377" s="9"/>
      <c r="C377" s="14"/>
      <c r="D377" s="14"/>
      <c r="E377" s="14"/>
      <c r="F377" s="14"/>
      <c r="G377" s="14"/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>
      <c r="A378" s="9"/>
      <c r="B378" s="9"/>
      <c r="C378" s="14"/>
      <c r="D378" s="14"/>
      <c r="E378" s="14"/>
      <c r="F378" s="14"/>
      <c r="G378" s="14"/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>
      <c r="A379" s="9"/>
      <c r="B379" s="9"/>
      <c r="C379" s="14"/>
      <c r="D379" s="14"/>
      <c r="E379" s="14"/>
      <c r="F379" s="14"/>
      <c r="G379" s="14"/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>
      <c r="A380" s="9"/>
      <c r="B380" s="9"/>
      <c r="C380" s="14"/>
      <c r="D380" s="14"/>
      <c r="E380" s="14"/>
      <c r="F380" s="14"/>
      <c r="G380" s="14"/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>
      <c r="A381" s="9"/>
      <c r="B381" s="9"/>
      <c r="C381" s="14"/>
      <c r="D381" s="14"/>
      <c r="E381" s="14"/>
      <c r="F381" s="14"/>
      <c r="G381" s="14"/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>
      <c r="A382" s="9"/>
      <c r="B382" s="9"/>
      <c r="C382" s="14"/>
      <c r="D382" s="14"/>
      <c r="E382" s="14"/>
      <c r="F382" s="14"/>
      <c r="G382" s="14"/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>
      <c r="A383" s="9"/>
      <c r="B383" s="9"/>
      <c r="C383" s="14"/>
      <c r="D383" s="14"/>
      <c r="E383" s="14"/>
      <c r="F383" s="14"/>
      <c r="G383" s="14"/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>
      <c r="A384" s="9"/>
      <c r="B384" s="9"/>
      <c r="C384" s="14"/>
      <c r="D384" s="14"/>
      <c r="E384" s="14"/>
      <c r="F384" s="14"/>
      <c r="G384" s="14"/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>
      <c r="A385" s="9"/>
      <c r="B385" s="9"/>
      <c r="C385" s="14"/>
      <c r="D385" s="14"/>
      <c r="E385" s="14"/>
      <c r="F385" s="14"/>
      <c r="G385" s="14"/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>
      <c r="A386" s="9"/>
      <c r="B386" s="9"/>
      <c r="C386" s="14"/>
      <c r="D386" s="14"/>
      <c r="E386" s="14"/>
      <c r="F386" s="14"/>
      <c r="G386" s="14"/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>
      <c r="A387" s="9"/>
      <c r="B387" s="9"/>
      <c r="C387" s="14"/>
      <c r="D387" s="14"/>
      <c r="E387" s="14"/>
      <c r="F387" s="14"/>
      <c r="G387" s="14"/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>
      <c r="A388" s="9"/>
      <c r="B388" s="9"/>
      <c r="C388" s="14"/>
      <c r="D388" s="14"/>
      <c r="E388" s="14"/>
      <c r="F388" s="14"/>
      <c r="G388" s="14"/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>
      <c r="A389" s="9"/>
      <c r="B389" s="9"/>
      <c r="C389" s="14"/>
      <c r="D389" s="14"/>
      <c r="E389" s="14"/>
      <c r="F389" s="14"/>
      <c r="G389" s="14"/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>
      <c r="A390" s="9"/>
      <c r="B390" s="9"/>
      <c r="C390" s="14"/>
      <c r="D390" s="14"/>
      <c r="E390" s="14"/>
      <c r="F390" s="14"/>
      <c r="G390" s="14"/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>
      <c r="A391" s="9"/>
      <c r="B391" s="9"/>
      <c r="C391" s="14"/>
      <c r="D391" s="14"/>
      <c r="E391" s="14"/>
      <c r="F391" s="14"/>
      <c r="G391" s="14"/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>
      <c r="A392" s="9"/>
      <c r="B392" s="9"/>
      <c r="C392" s="14"/>
      <c r="D392" s="14"/>
      <c r="E392" s="14"/>
      <c r="F392" s="14"/>
      <c r="G392" s="14"/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>
      <c r="A393" s="9"/>
      <c r="B393" s="9"/>
      <c r="C393" s="14"/>
      <c r="D393" s="14"/>
      <c r="E393" s="14"/>
      <c r="F393" s="14"/>
      <c r="G393" s="14"/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>
      <c r="A394" s="9"/>
      <c r="B394" s="9"/>
      <c r="C394" s="14"/>
      <c r="D394" s="14"/>
      <c r="E394" s="14"/>
      <c r="F394" s="14"/>
      <c r="G394" s="14"/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>
      <c r="A395" s="9"/>
      <c r="B395" s="9"/>
      <c r="C395" s="14"/>
      <c r="D395" s="14"/>
      <c r="E395" s="14"/>
      <c r="F395" s="14"/>
      <c r="G395" s="14"/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>
      <c r="A396" s="9"/>
      <c r="B396" s="9"/>
      <c r="C396" s="14"/>
      <c r="D396" s="14"/>
      <c r="E396" s="14"/>
      <c r="F396" s="14"/>
      <c r="G396" s="14"/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>
      <c r="A397" s="9"/>
      <c r="B397" s="9"/>
      <c r="C397" s="14"/>
      <c r="D397" s="14"/>
      <c r="E397" s="14"/>
      <c r="F397" s="14"/>
      <c r="G397" s="14"/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>
      <c r="A398" s="9"/>
      <c r="B398" s="9"/>
      <c r="C398" s="14"/>
      <c r="D398" s="14"/>
      <c r="E398" s="14"/>
      <c r="F398" s="14"/>
      <c r="G398" s="14"/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>
      <c r="A399" s="9"/>
      <c r="B399" s="9"/>
      <c r="C399" s="14"/>
      <c r="D399" s="14"/>
      <c r="E399" s="14"/>
      <c r="F399" s="14"/>
      <c r="G399" s="14"/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>
      <c r="A400" s="9"/>
      <c r="B400" s="9"/>
      <c r="C400" s="14"/>
      <c r="D400" s="14"/>
      <c r="E400" s="14"/>
      <c r="F400" s="14"/>
      <c r="G400" s="14"/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>
      <c r="A401" s="9"/>
      <c r="B401" s="9"/>
      <c r="C401" s="14"/>
      <c r="D401" s="14"/>
      <c r="E401" s="14"/>
      <c r="F401" s="14"/>
      <c r="G401" s="14"/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>
      <c r="A402" s="9"/>
      <c r="B402" s="9"/>
      <c r="C402" s="14"/>
      <c r="D402" s="14"/>
      <c r="E402" s="14"/>
      <c r="F402" s="14"/>
      <c r="G402" s="14"/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>
      <c r="A403" s="9"/>
      <c r="B403" s="9"/>
      <c r="C403" s="14"/>
      <c r="D403" s="14"/>
      <c r="E403" s="14"/>
      <c r="F403" s="14"/>
      <c r="G403" s="14"/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>
      <c r="A404" s="9"/>
      <c r="B404" s="9"/>
      <c r="C404" s="14"/>
      <c r="D404" s="14"/>
      <c r="E404" s="14"/>
      <c r="F404" s="14"/>
      <c r="G404" s="14"/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>
      <c r="A405" s="9"/>
      <c r="B405" s="9"/>
      <c r="C405" s="14"/>
      <c r="D405" s="14"/>
      <c r="E405" s="14"/>
      <c r="F405" s="14"/>
      <c r="G405" s="14"/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>
      <c r="A406" s="9"/>
      <c r="B406" s="9"/>
      <c r="C406" s="14"/>
      <c r="D406" s="14"/>
      <c r="E406" s="14"/>
      <c r="F406" s="14"/>
      <c r="G406" s="14"/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>
      <c r="A407" s="9"/>
      <c r="B407" s="9"/>
      <c r="C407" s="14"/>
      <c r="D407" s="14"/>
      <c r="E407" s="14"/>
      <c r="F407" s="14"/>
      <c r="G407" s="14"/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>
      <c r="A408" s="9"/>
      <c r="B408" s="9"/>
      <c r="C408" s="14"/>
      <c r="D408" s="14"/>
      <c r="E408" s="14"/>
      <c r="F408" s="14"/>
      <c r="G408" s="14"/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>
      <c r="A409" s="9"/>
      <c r="B409" s="9"/>
      <c r="C409" s="14"/>
      <c r="D409" s="14"/>
      <c r="E409" s="14"/>
      <c r="F409" s="14"/>
      <c r="G409" s="14"/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>
      <c r="A410" s="9"/>
      <c r="B410" s="9"/>
      <c r="C410" s="14"/>
      <c r="D410" s="14"/>
      <c r="E410" s="14"/>
      <c r="F410" s="14"/>
      <c r="G410" s="14"/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>
      <c r="A411" s="9"/>
      <c r="B411" s="9"/>
      <c r="C411" s="14"/>
      <c r="D411" s="14"/>
      <c r="E411" s="14"/>
      <c r="F411" s="14"/>
      <c r="G411" s="14"/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>
      <c r="A412" s="9"/>
      <c r="B412" s="9"/>
      <c r="C412" s="14"/>
      <c r="D412" s="14"/>
      <c r="E412" s="14"/>
      <c r="F412" s="14"/>
      <c r="G412" s="14"/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>
      <c r="A413" s="9"/>
      <c r="B413" s="9"/>
      <c r="C413" s="14"/>
      <c r="D413" s="14"/>
      <c r="E413" s="14"/>
      <c r="F413" s="14"/>
      <c r="G413" s="14"/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>
      <c r="A414" s="9"/>
      <c r="B414" s="9"/>
      <c r="C414" s="14"/>
      <c r="D414" s="14"/>
      <c r="E414" s="14"/>
      <c r="F414" s="14"/>
      <c r="G414" s="14"/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>
      <c r="A415" s="9"/>
      <c r="B415" s="9"/>
      <c r="C415" s="14"/>
      <c r="D415" s="14"/>
      <c r="E415" s="14"/>
      <c r="F415" s="14"/>
      <c r="G415" s="14"/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>
      <c r="A416" s="9"/>
      <c r="B416" s="9"/>
      <c r="C416" s="14"/>
      <c r="D416" s="14"/>
      <c r="E416" s="14"/>
      <c r="F416" s="14"/>
      <c r="G416" s="14"/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>
      <c r="A417" s="9"/>
      <c r="B417" s="9"/>
      <c r="C417" s="14"/>
      <c r="D417" s="14"/>
      <c r="E417" s="14"/>
      <c r="F417" s="14"/>
      <c r="G417" s="14"/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>
      <c r="A418" s="9"/>
      <c r="B418" s="9"/>
      <c r="C418" s="14"/>
      <c r="D418" s="14"/>
      <c r="E418" s="14"/>
      <c r="F418" s="14"/>
      <c r="G418" s="14"/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>
      <c r="A419" s="9"/>
      <c r="B419" s="9"/>
      <c r="C419" s="14"/>
      <c r="D419" s="14"/>
      <c r="E419" s="14"/>
      <c r="F419" s="14"/>
      <c r="G419" s="14"/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>
      <c r="A420" s="9"/>
      <c r="B420" s="9"/>
      <c r="C420" s="14"/>
      <c r="D420" s="14"/>
      <c r="E420" s="14"/>
      <c r="F420" s="14"/>
      <c r="G420" s="14"/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>
      <c r="A421" s="9"/>
      <c r="B421" s="9"/>
      <c r="C421" s="14"/>
      <c r="D421" s="14"/>
      <c r="E421" s="14"/>
      <c r="F421" s="14"/>
      <c r="G421" s="14"/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>
      <c r="A422" s="9"/>
      <c r="B422" s="9"/>
      <c r="C422" s="14"/>
      <c r="D422" s="14"/>
      <c r="E422" s="14"/>
      <c r="F422" s="14"/>
      <c r="G422" s="14"/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>
      <c r="A423" s="9"/>
      <c r="B423" s="9"/>
      <c r="C423" s="14"/>
      <c r="D423" s="14"/>
      <c r="E423" s="14"/>
      <c r="F423" s="14"/>
      <c r="G423" s="14"/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>
      <c r="A424" s="9"/>
      <c r="B424" s="9"/>
      <c r="C424" s="14"/>
      <c r="D424" s="14"/>
      <c r="E424" s="14"/>
      <c r="F424" s="14"/>
      <c r="G424" s="14"/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>
      <c r="A425" s="9"/>
      <c r="B425" s="9"/>
      <c r="C425" s="14"/>
      <c r="D425" s="14"/>
      <c r="E425" s="14"/>
      <c r="F425" s="14"/>
      <c r="G425" s="14"/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>
      <c r="A426" s="9"/>
      <c r="B426" s="9"/>
      <c r="C426" s="14"/>
      <c r="D426" s="14"/>
      <c r="E426" s="14"/>
      <c r="F426" s="14"/>
      <c r="G426" s="14"/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>
      <c r="A427" s="9"/>
      <c r="B427" s="9"/>
      <c r="C427" s="14"/>
      <c r="D427" s="14"/>
      <c r="E427" s="14"/>
      <c r="F427" s="14"/>
      <c r="G427" s="14"/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>
      <c r="A428" s="9"/>
      <c r="B428" s="9"/>
      <c r="C428" s="14"/>
      <c r="D428" s="14"/>
      <c r="E428" s="14"/>
      <c r="F428" s="14"/>
      <c r="G428" s="14"/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>
      <c r="A429" s="9"/>
      <c r="B429" s="9"/>
      <c r="C429" s="14"/>
      <c r="D429" s="14"/>
      <c r="E429" s="14"/>
      <c r="F429" s="14"/>
      <c r="G429" s="14"/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>
      <c r="A430" s="9"/>
      <c r="B430" s="9"/>
      <c r="C430" s="14"/>
      <c r="D430" s="14"/>
      <c r="E430" s="14"/>
      <c r="F430" s="14"/>
      <c r="G430" s="14"/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>
      <c r="A431" s="9"/>
      <c r="B431" s="9"/>
      <c r="C431" s="14"/>
      <c r="D431" s="14"/>
      <c r="E431" s="14"/>
      <c r="F431" s="14"/>
      <c r="G431" s="14"/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>
      <c r="A432" s="9"/>
      <c r="B432" s="9"/>
      <c r="C432" s="14"/>
      <c r="D432" s="14"/>
      <c r="E432" s="14"/>
      <c r="F432" s="14"/>
      <c r="G432" s="14"/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>
      <c r="A433" s="9"/>
      <c r="B433" s="9"/>
      <c r="C433" s="14"/>
      <c r="D433" s="14"/>
      <c r="E433" s="14"/>
      <c r="F433" s="14"/>
      <c r="G433" s="14"/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>
      <c r="A434" s="9"/>
      <c r="B434" s="9"/>
      <c r="C434" s="14"/>
      <c r="D434" s="14"/>
      <c r="E434" s="14"/>
      <c r="F434" s="14"/>
      <c r="G434" s="14"/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>
      <c r="A435" s="9"/>
      <c r="B435" s="9"/>
      <c r="C435" s="14"/>
      <c r="D435" s="14"/>
      <c r="E435" s="14"/>
      <c r="F435" s="14"/>
      <c r="G435" s="14"/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>
      <c r="A436" s="9"/>
      <c r="B436" s="9"/>
      <c r="C436" s="14"/>
      <c r="D436" s="14"/>
      <c r="E436" s="14"/>
      <c r="F436" s="14"/>
      <c r="G436" s="14"/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>
      <c r="A437" s="9"/>
      <c r="B437" s="9"/>
      <c r="C437" s="14"/>
      <c r="D437" s="14"/>
      <c r="E437" s="14"/>
      <c r="F437" s="14"/>
      <c r="G437" s="14"/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>
      <c r="A438" s="9"/>
      <c r="B438" s="9"/>
      <c r="C438" s="14"/>
      <c r="D438" s="14"/>
      <c r="E438" s="14"/>
      <c r="F438" s="14"/>
      <c r="G438" s="14"/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>
      <c r="A439" s="9"/>
      <c r="B439" s="9"/>
      <c r="C439" s="14"/>
      <c r="D439" s="14"/>
      <c r="E439" s="14"/>
      <c r="F439" s="14"/>
      <c r="G439" s="14"/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>
      <c r="A440" s="9"/>
      <c r="B440" s="9"/>
      <c r="C440" s="14"/>
      <c r="D440" s="14"/>
      <c r="E440" s="14"/>
      <c r="F440" s="14"/>
      <c r="G440" s="14"/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>
      <c r="A441" s="9"/>
      <c r="B441" s="9"/>
      <c r="C441" s="14"/>
      <c r="D441" s="14"/>
      <c r="E441" s="14"/>
      <c r="F441" s="14"/>
      <c r="G441" s="14"/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>
      <c r="A442" s="9"/>
      <c r="B442" s="9"/>
      <c r="C442" s="14"/>
      <c r="D442" s="14"/>
      <c r="E442" s="14"/>
      <c r="F442" s="14"/>
      <c r="G442" s="14"/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>
      <c r="A443" s="9"/>
      <c r="B443" s="9"/>
      <c r="C443" s="14"/>
      <c r="D443" s="14"/>
      <c r="E443" s="14"/>
      <c r="F443" s="14"/>
      <c r="G443" s="14"/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>
      <c r="A444" s="9"/>
      <c r="B444" s="9"/>
      <c r="C444" s="14"/>
      <c r="D444" s="14"/>
      <c r="E444" s="14"/>
      <c r="F444" s="14"/>
      <c r="G444" s="14"/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>
      <c r="A445" s="9"/>
      <c r="B445" s="9"/>
      <c r="C445" s="14"/>
      <c r="D445" s="14"/>
      <c r="E445" s="14"/>
      <c r="F445" s="14"/>
      <c r="G445" s="14"/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>
      <c r="A446" s="9"/>
      <c r="B446" s="9"/>
      <c r="C446" s="14"/>
      <c r="D446" s="14"/>
      <c r="E446" s="14"/>
      <c r="F446" s="14"/>
      <c r="G446" s="14"/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>
      <c r="A447" s="9"/>
      <c r="B447" s="9"/>
      <c r="C447" s="14"/>
      <c r="D447" s="14"/>
      <c r="E447" s="14"/>
      <c r="F447" s="14"/>
      <c r="G447" s="14"/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>
      <c r="A448" s="9"/>
      <c r="B448" s="9"/>
      <c r="C448" s="14"/>
      <c r="D448" s="14"/>
      <c r="E448" s="14"/>
      <c r="F448" s="14"/>
      <c r="G448" s="14"/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>
      <c r="A449" s="9"/>
      <c r="B449" s="9"/>
      <c r="C449" s="14"/>
      <c r="D449" s="14"/>
      <c r="E449" s="14"/>
      <c r="F449" s="14"/>
      <c r="G449" s="14"/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>
      <c r="A450" s="9"/>
      <c r="B450" s="9"/>
      <c r="C450" s="14"/>
      <c r="D450" s="14"/>
      <c r="E450" s="14"/>
      <c r="F450" s="14"/>
      <c r="G450" s="14"/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>
      <c r="A451" s="9"/>
      <c r="B451" s="9"/>
      <c r="C451" s="14"/>
      <c r="D451" s="14"/>
      <c r="E451" s="14"/>
      <c r="F451" s="14"/>
      <c r="G451" s="14"/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>
      <c r="A452" s="9"/>
      <c r="B452" s="9"/>
      <c r="C452" s="14"/>
      <c r="D452" s="14"/>
      <c r="E452" s="14"/>
      <c r="F452" s="14"/>
      <c r="G452" s="14"/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>
      <c r="A453" s="9"/>
      <c r="B453" s="9"/>
      <c r="C453" s="14"/>
      <c r="D453" s="14"/>
      <c r="E453" s="14"/>
      <c r="F453" s="14"/>
      <c r="G453" s="14"/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>
      <c r="A454" s="9"/>
      <c r="B454" s="9"/>
      <c r="C454" s="14"/>
      <c r="D454" s="14"/>
      <c r="E454" s="14"/>
      <c r="F454" s="14"/>
      <c r="G454" s="14"/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>
      <c r="A455" s="9"/>
      <c r="B455" s="9"/>
      <c r="C455" s="14"/>
      <c r="D455" s="14"/>
      <c r="E455" s="14"/>
      <c r="F455" s="14"/>
      <c r="G455" s="14"/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>
      <c r="A456" s="9"/>
      <c r="B456" s="9"/>
      <c r="C456" s="14"/>
      <c r="D456" s="14"/>
      <c r="E456" s="14"/>
      <c r="F456" s="14"/>
      <c r="G456" s="14"/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>
      <c r="A457" s="9"/>
      <c r="B457" s="9"/>
      <c r="C457" s="14"/>
      <c r="D457" s="14"/>
      <c r="E457" s="14"/>
      <c r="F457" s="14"/>
      <c r="G457" s="14"/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>
      <c r="A458" s="9"/>
      <c r="B458" s="9"/>
      <c r="C458" s="14"/>
      <c r="D458" s="14"/>
      <c r="E458" s="14"/>
      <c r="F458" s="14"/>
      <c r="G458" s="14"/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>
      <c r="A459" s="9"/>
      <c r="B459" s="9"/>
      <c r="C459" s="14"/>
      <c r="D459" s="14"/>
      <c r="E459" s="14"/>
      <c r="F459" s="14"/>
      <c r="G459" s="14"/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>
      <c r="A460" s="9"/>
      <c r="B460" s="9"/>
      <c r="C460" s="14"/>
      <c r="D460" s="14"/>
      <c r="E460" s="14"/>
      <c r="F460" s="14"/>
      <c r="G460" s="14"/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>
      <c r="A461" s="9"/>
      <c r="B461" s="9"/>
      <c r="C461" s="14"/>
      <c r="D461" s="14"/>
      <c r="E461" s="14"/>
      <c r="F461" s="14"/>
      <c r="G461" s="14"/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>
      <c r="A462" s="9"/>
      <c r="B462" s="9"/>
      <c r="C462" s="14"/>
      <c r="D462" s="14"/>
      <c r="E462" s="14"/>
      <c r="F462" s="14"/>
      <c r="G462" s="14"/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>
      <c r="A463" s="9"/>
      <c r="B463" s="9"/>
      <c r="C463" s="14"/>
      <c r="D463" s="14"/>
      <c r="E463" s="14"/>
      <c r="F463" s="14"/>
      <c r="G463" s="14"/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>
      <c r="A464" s="9"/>
      <c r="B464" s="9"/>
      <c r="C464" s="14"/>
      <c r="D464" s="14"/>
      <c r="E464" s="14"/>
      <c r="F464" s="14"/>
      <c r="G464" s="14"/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>
      <c r="A465" s="9"/>
      <c r="B465" s="9"/>
      <c r="C465" s="14"/>
      <c r="D465" s="14"/>
      <c r="E465" s="14"/>
      <c r="F465" s="14"/>
      <c r="G465" s="14"/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>
      <c r="A466" s="9"/>
      <c r="B466" s="9"/>
      <c r="C466" s="14"/>
      <c r="D466" s="14"/>
      <c r="E466" s="14"/>
      <c r="F466" s="14"/>
      <c r="G466" s="14"/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>
      <c r="A467" s="9"/>
      <c r="B467" s="9"/>
      <c r="C467" s="14"/>
      <c r="D467" s="14"/>
      <c r="E467" s="14"/>
      <c r="F467" s="14"/>
      <c r="G467" s="14"/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>
      <c r="A468" s="9"/>
      <c r="B468" s="9"/>
      <c r="C468" s="14"/>
      <c r="D468" s="14"/>
      <c r="E468" s="14"/>
      <c r="F468" s="14"/>
      <c r="G468" s="14"/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>
      <c r="A469" s="9"/>
      <c r="B469" s="9"/>
      <c r="C469" s="14"/>
      <c r="D469" s="14"/>
      <c r="E469" s="14"/>
      <c r="F469" s="14"/>
      <c r="G469" s="14"/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>
      <c r="A470" s="9"/>
      <c r="B470" s="9"/>
      <c r="C470" s="14"/>
      <c r="D470" s="14"/>
      <c r="E470" s="14"/>
      <c r="F470" s="14"/>
      <c r="G470" s="14"/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>
      <c r="A471" s="9"/>
      <c r="B471" s="9"/>
      <c r="C471" s="14"/>
      <c r="D471" s="14"/>
      <c r="E471" s="14"/>
      <c r="F471" s="14"/>
      <c r="G471" s="14"/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>
      <c r="A472" s="9"/>
      <c r="B472" s="9"/>
      <c r="C472" s="14"/>
      <c r="D472" s="14"/>
      <c r="E472" s="14"/>
      <c r="F472" s="14"/>
      <c r="G472" s="14"/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>
      <c r="A473" s="9"/>
      <c r="B473" s="9"/>
      <c r="C473" s="14"/>
      <c r="D473" s="14"/>
      <c r="E473" s="14"/>
      <c r="F473" s="14"/>
      <c r="G473" s="14"/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>
      <c r="A474" s="9"/>
      <c r="B474" s="9"/>
      <c r="C474" s="14"/>
      <c r="D474" s="14"/>
      <c r="E474" s="14"/>
      <c r="F474" s="14"/>
      <c r="G474" s="14"/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>
      <c r="A475" s="9"/>
      <c r="B475" s="9"/>
      <c r="C475" s="14"/>
      <c r="D475" s="14"/>
      <c r="E475" s="14"/>
      <c r="F475" s="14"/>
      <c r="G475" s="14"/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>
      <c r="A476" s="9"/>
      <c r="B476" s="9"/>
      <c r="C476" s="14"/>
      <c r="D476" s="14"/>
      <c r="E476" s="14"/>
      <c r="F476" s="14"/>
      <c r="G476" s="14"/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>
      <c r="A477" s="9"/>
      <c r="B477" s="9"/>
      <c r="C477" s="14"/>
      <c r="D477" s="14"/>
      <c r="E477" s="14"/>
      <c r="F477" s="14"/>
      <c r="G477" s="14"/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>
      <c r="A478" s="9"/>
      <c r="B478" s="9"/>
      <c r="C478" s="14"/>
      <c r="D478" s="14"/>
      <c r="E478" s="14"/>
      <c r="F478" s="14"/>
      <c r="G478" s="14"/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>
      <c r="A479" s="9"/>
      <c r="B479" s="9"/>
      <c r="C479" s="14"/>
      <c r="D479" s="14"/>
      <c r="E479" s="14"/>
      <c r="F479" s="14"/>
      <c r="G479" s="14"/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>
      <c r="A480" s="9"/>
      <c r="B480" s="9"/>
      <c r="C480" s="14"/>
      <c r="D480" s="14"/>
      <c r="E480" s="14"/>
      <c r="F480" s="14"/>
      <c r="G480" s="14"/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>
      <c r="A481" s="9"/>
      <c r="B481" s="9"/>
      <c r="C481" s="14"/>
      <c r="D481" s="14"/>
      <c r="E481" s="14"/>
      <c r="F481" s="14"/>
      <c r="G481" s="14"/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>
      <c r="A482" s="9"/>
      <c r="B482" s="9"/>
      <c r="C482" s="14"/>
      <c r="D482" s="14"/>
      <c r="E482" s="14"/>
      <c r="F482" s="14"/>
      <c r="G482" s="14"/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>
      <c r="A483" s="9"/>
      <c r="B483" s="9"/>
      <c r="C483" s="14"/>
      <c r="D483" s="14"/>
      <c r="E483" s="14"/>
      <c r="F483" s="14"/>
      <c r="G483" s="14"/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>
      <c r="A484" s="9"/>
      <c r="B484" s="9"/>
      <c r="C484" s="14"/>
      <c r="D484" s="14"/>
      <c r="E484" s="14"/>
      <c r="F484" s="14"/>
      <c r="G484" s="14"/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>
      <c r="A485" s="9"/>
      <c r="B485" s="9"/>
      <c r="C485" s="14"/>
      <c r="D485" s="14"/>
      <c r="E485" s="14"/>
      <c r="F485" s="14"/>
      <c r="G485" s="14"/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>
      <c r="A486" s="9"/>
      <c r="B486" s="9"/>
      <c r="C486" s="14"/>
      <c r="D486" s="14"/>
      <c r="E486" s="14"/>
      <c r="F486" s="14"/>
      <c r="G486" s="14"/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>
      <c r="A487" s="9"/>
      <c r="B487" s="9"/>
      <c r="C487" s="14"/>
      <c r="D487" s="14"/>
      <c r="E487" s="14"/>
      <c r="F487" s="14"/>
      <c r="G487" s="14"/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>
      <c r="A488" s="9"/>
      <c r="B488" s="9"/>
      <c r="C488" s="14"/>
      <c r="D488" s="14"/>
      <c r="E488" s="14"/>
      <c r="F488" s="14"/>
      <c r="G488" s="14"/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>
      <c r="A489" s="9"/>
      <c r="B489" s="9"/>
      <c r="C489" s="14"/>
      <c r="D489" s="14"/>
      <c r="E489" s="14"/>
      <c r="F489" s="14"/>
      <c r="G489" s="14"/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>
      <c r="A490" s="9"/>
      <c r="B490" s="9"/>
      <c r="C490" s="14"/>
      <c r="D490" s="14"/>
      <c r="E490" s="14"/>
      <c r="F490" s="14"/>
      <c r="G490" s="14"/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>
      <c r="A491" s="9"/>
      <c r="B491" s="9"/>
      <c r="C491" s="14"/>
      <c r="D491" s="14"/>
      <c r="E491" s="14"/>
      <c r="F491" s="14"/>
      <c r="G491" s="14"/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>
      <c r="A492" s="9"/>
      <c r="B492" s="9"/>
      <c r="C492" s="14"/>
      <c r="D492" s="14"/>
      <c r="E492" s="14"/>
      <c r="F492" s="14"/>
      <c r="G492" s="14"/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>
      <c r="A493" s="9"/>
      <c r="B493" s="9"/>
      <c r="C493" s="14"/>
      <c r="D493" s="14"/>
      <c r="E493" s="14"/>
      <c r="F493" s="14"/>
      <c r="G493" s="14"/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>
      <c r="A494" s="9"/>
      <c r="B494" s="9"/>
      <c r="C494" s="14"/>
      <c r="D494" s="14"/>
      <c r="E494" s="14"/>
      <c r="F494" s="14"/>
      <c r="G494" s="14"/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>
      <c r="A495" s="9"/>
      <c r="B495" s="9"/>
      <c r="C495" s="14"/>
      <c r="D495" s="14"/>
      <c r="E495" s="14"/>
      <c r="F495" s="14"/>
      <c r="G495" s="14"/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>
      <c r="A496" s="9"/>
      <c r="B496" s="9"/>
      <c r="C496" s="14"/>
      <c r="D496" s="14"/>
      <c r="E496" s="14"/>
      <c r="F496" s="14"/>
      <c r="G496" s="14"/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>
      <c r="A497" s="9"/>
      <c r="B497" s="9"/>
      <c r="C497" s="14"/>
      <c r="D497" s="14"/>
      <c r="E497" s="14"/>
      <c r="F497" s="14"/>
      <c r="G497" s="14"/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>
      <c r="A498" s="9"/>
      <c r="B498" s="9"/>
      <c r="C498" s="14"/>
      <c r="D498" s="14"/>
      <c r="E498" s="14"/>
      <c r="F498" s="14"/>
      <c r="G498" s="14"/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>
      <c r="A499" s="9"/>
      <c r="B499" s="9"/>
      <c r="C499" s="14"/>
      <c r="D499" s="14"/>
      <c r="E499" s="14"/>
      <c r="F499" s="14"/>
      <c r="G499" s="14"/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>
      <c r="A500" s="9"/>
      <c r="B500" s="9"/>
      <c r="C500" s="14"/>
      <c r="D500" s="14"/>
      <c r="E500" s="14"/>
      <c r="F500" s="14"/>
      <c r="G500" s="14"/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>
      <c r="A501" s="9"/>
      <c r="B501" s="9"/>
      <c r="C501" s="14"/>
      <c r="D501" s="14"/>
      <c r="E501" s="14"/>
      <c r="F501" s="14"/>
      <c r="G501" s="14"/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>
      <c r="A502" s="9"/>
      <c r="B502" s="9"/>
      <c r="C502" s="14"/>
      <c r="D502" s="14"/>
      <c r="E502" s="14"/>
      <c r="F502" s="14"/>
      <c r="G502" s="14"/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>
      <c r="A503" s="9"/>
      <c r="B503" s="9"/>
      <c r="C503" s="14"/>
      <c r="D503" s="14"/>
      <c r="E503" s="14"/>
      <c r="F503" s="14"/>
      <c r="G503" s="14"/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>
      <c r="A504" s="9"/>
      <c r="B504" s="9"/>
      <c r="C504" s="14"/>
      <c r="D504" s="14"/>
      <c r="E504" s="14"/>
      <c r="F504" s="14"/>
      <c r="G504" s="14"/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>
      <c r="A505" s="9"/>
      <c r="B505" s="9"/>
      <c r="C505" s="14"/>
      <c r="D505" s="14"/>
      <c r="E505" s="14"/>
      <c r="F505" s="14"/>
      <c r="G505" s="14"/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>
      <c r="A506" s="9"/>
      <c r="B506" s="9"/>
      <c r="C506" s="14"/>
      <c r="D506" s="14"/>
      <c r="E506" s="14"/>
      <c r="F506" s="14"/>
      <c r="G506" s="14"/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>
      <c r="A507" s="9"/>
      <c r="B507" s="9"/>
      <c r="C507" s="14"/>
      <c r="D507" s="14"/>
      <c r="E507" s="14"/>
      <c r="F507" s="14"/>
      <c r="G507" s="14"/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>
      <c r="A508" s="9"/>
      <c r="B508" s="9"/>
      <c r="C508" s="14"/>
      <c r="D508" s="14"/>
      <c r="E508" s="14"/>
      <c r="F508" s="14"/>
      <c r="G508" s="14"/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>
      <c r="A509" s="9"/>
      <c r="B509" s="9"/>
      <c r="C509" s="14"/>
      <c r="D509" s="14"/>
      <c r="E509" s="14"/>
      <c r="F509" s="14"/>
      <c r="G509" s="14"/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>
      <c r="A510" s="9"/>
      <c r="B510" s="9"/>
      <c r="C510" s="14"/>
      <c r="D510" s="14"/>
      <c r="E510" s="14"/>
      <c r="F510" s="14"/>
      <c r="G510" s="14"/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>
      <c r="A511" s="9"/>
      <c r="B511" s="9"/>
      <c r="C511" s="14"/>
      <c r="D511" s="14"/>
      <c r="E511" s="14"/>
      <c r="F511" s="14"/>
      <c r="G511" s="14"/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>
      <c r="A512" s="9"/>
      <c r="B512" s="9"/>
      <c r="C512" s="14"/>
      <c r="D512" s="14"/>
      <c r="E512" s="14"/>
      <c r="F512" s="14"/>
      <c r="G512" s="14"/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>
      <c r="A513" s="9"/>
      <c r="B513" s="9"/>
      <c r="C513" s="14"/>
      <c r="D513" s="14"/>
      <c r="E513" s="14"/>
      <c r="F513" s="14"/>
      <c r="G513" s="14"/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>
      <c r="A514" s="9"/>
      <c r="B514" s="9"/>
      <c r="C514" s="14"/>
      <c r="D514" s="14"/>
      <c r="E514" s="14"/>
      <c r="F514" s="14"/>
      <c r="G514" s="14"/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>
      <c r="A515" s="9"/>
      <c r="B515" s="9"/>
      <c r="C515" s="14"/>
      <c r="D515" s="14"/>
      <c r="E515" s="14"/>
      <c r="F515" s="14"/>
      <c r="G515" s="14"/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>
      <c r="A516" s="9"/>
      <c r="B516" s="9"/>
      <c r="C516" s="14"/>
      <c r="D516" s="14"/>
      <c r="E516" s="14"/>
      <c r="F516" s="14"/>
      <c r="G516" s="14"/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>
      <c r="A517" s="9"/>
      <c r="B517" s="9"/>
      <c r="C517" s="14"/>
      <c r="D517" s="14"/>
      <c r="E517" s="14"/>
      <c r="F517" s="14"/>
      <c r="G517" s="14"/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>
      <c r="A518" s="9"/>
      <c r="B518" s="9"/>
      <c r="C518" s="14"/>
      <c r="D518" s="14"/>
      <c r="E518" s="14"/>
      <c r="F518" s="14"/>
      <c r="G518" s="14"/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>
      <c r="A519" s="9"/>
      <c r="B519" s="9"/>
      <c r="C519" s="14"/>
      <c r="D519" s="14"/>
      <c r="E519" s="14"/>
      <c r="F519" s="14"/>
      <c r="G519" s="14"/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>
      <c r="A520" s="9"/>
      <c r="B520" s="9"/>
      <c r="C520" s="14"/>
      <c r="D520" s="14"/>
      <c r="E520" s="14"/>
      <c r="F520" s="14"/>
      <c r="G520" s="14"/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>
      <c r="A521" s="9"/>
      <c r="B521" s="9"/>
      <c r="C521" s="14"/>
      <c r="D521" s="14"/>
      <c r="E521" s="14"/>
      <c r="F521" s="14"/>
      <c r="G521" s="14"/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>
      <c r="A522" s="9"/>
      <c r="B522" s="9"/>
      <c r="C522" s="14"/>
      <c r="D522" s="14"/>
      <c r="E522" s="14"/>
      <c r="F522" s="14"/>
      <c r="G522" s="14"/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>
      <c r="A523" s="9"/>
      <c r="B523" s="9"/>
      <c r="C523" s="14"/>
      <c r="D523" s="14"/>
      <c r="E523" s="14"/>
      <c r="F523" s="14"/>
      <c r="G523" s="14"/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>
      <c r="A524" s="9"/>
      <c r="B524" s="9"/>
      <c r="C524" s="14"/>
      <c r="D524" s="14"/>
      <c r="E524" s="14"/>
      <c r="F524" s="14"/>
      <c r="G524" s="14"/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>
      <c r="A525" s="9"/>
      <c r="B525" s="9"/>
      <c r="C525" s="14"/>
      <c r="D525" s="14"/>
      <c r="E525" s="14"/>
      <c r="F525" s="14"/>
      <c r="G525" s="14"/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>
      <c r="A526" s="9"/>
      <c r="B526" s="9"/>
      <c r="C526" s="14"/>
      <c r="D526" s="14"/>
      <c r="E526" s="14"/>
      <c r="F526" s="14"/>
      <c r="G526" s="14"/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>
      <c r="A527" s="9"/>
      <c r="B527" s="9"/>
      <c r="C527" s="14"/>
      <c r="D527" s="14"/>
      <c r="E527" s="14"/>
      <c r="F527" s="14"/>
      <c r="G527" s="14"/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>
      <c r="A528" s="9"/>
      <c r="B528" s="9"/>
      <c r="C528" s="14"/>
      <c r="D528" s="14"/>
      <c r="E528" s="14"/>
      <c r="F528" s="14"/>
      <c r="G528" s="14"/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>
      <c r="A529" s="9"/>
      <c r="B529" s="9"/>
      <c r="C529" s="14"/>
      <c r="D529" s="14"/>
      <c r="E529" s="14"/>
      <c r="F529" s="14"/>
      <c r="G529" s="14"/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>
      <c r="A530" s="9"/>
      <c r="B530" s="9"/>
      <c r="C530" s="14"/>
      <c r="D530" s="14"/>
      <c r="E530" s="14"/>
      <c r="F530" s="14"/>
      <c r="G530" s="14"/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>
      <c r="A531" s="9"/>
      <c r="B531" s="9"/>
      <c r="C531" s="14"/>
      <c r="D531" s="14"/>
      <c r="E531" s="14"/>
      <c r="F531" s="14"/>
      <c r="G531" s="14"/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>
      <c r="A532" s="9"/>
      <c r="B532" s="9"/>
      <c r="C532" s="14"/>
      <c r="D532" s="14"/>
      <c r="E532" s="14"/>
      <c r="F532" s="14"/>
      <c r="G532" s="14"/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>
      <c r="A533" s="9"/>
      <c r="B533" s="9"/>
      <c r="C533" s="14"/>
      <c r="D533" s="14"/>
      <c r="E533" s="14"/>
      <c r="F533" s="14"/>
      <c r="G533" s="14"/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>
      <c r="A534" s="9"/>
      <c r="B534" s="9"/>
      <c r="C534" s="14"/>
      <c r="D534" s="14"/>
      <c r="E534" s="14"/>
      <c r="F534" s="14"/>
      <c r="G534" s="14"/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>
      <c r="A535" s="9"/>
      <c r="B535" s="9"/>
      <c r="C535" s="14"/>
      <c r="D535" s="14"/>
      <c r="E535" s="14"/>
      <c r="F535" s="14"/>
      <c r="G535" s="14"/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>
      <c r="A536" s="9"/>
      <c r="B536" s="9"/>
      <c r="C536" s="14"/>
      <c r="D536" s="14"/>
      <c r="E536" s="14"/>
      <c r="F536" s="14"/>
      <c r="G536" s="14"/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>
      <c r="A537" s="9"/>
      <c r="B537" s="9"/>
      <c r="C537" s="14"/>
      <c r="D537" s="14"/>
      <c r="E537" s="14"/>
      <c r="F537" s="14"/>
      <c r="G537" s="14"/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>
      <c r="A538" s="9"/>
      <c r="B538" s="9"/>
      <c r="C538" s="14"/>
      <c r="D538" s="14"/>
      <c r="E538" s="14"/>
      <c r="F538" s="14"/>
      <c r="G538" s="14"/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>
      <c r="A539" s="9"/>
      <c r="B539" s="9"/>
      <c r="C539" s="14"/>
      <c r="D539" s="14"/>
      <c r="E539" s="14"/>
      <c r="F539" s="14"/>
      <c r="G539" s="14"/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>
      <c r="A540" s="9"/>
      <c r="B540" s="9"/>
      <c r="C540" s="14"/>
      <c r="D540" s="14"/>
      <c r="E540" s="14"/>
      <c r="F540" s="14"/>
      <c r="G540" s="14"/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>
      <c r="A541" s="9"/>
      <c r="B541" s="9"/>
      <c r="C541" s="14"/>
      <c r="D541" s="14"/>
      <c r="E541" s="14"/>
      <c r="F541" s="14"/>
      <c r="G541" s="14"/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>
      <c r="A542" s="9"/>
      <c r="B542" s="9"/>
      <c r="C542" s="14"/>
      <c r="D542" s="14"/>
      <c r="E542" s="14"/>
      <c r="F542" s="14"/>
      <c r="G542" s="14"/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>
      <c r="A543" s="9"/>
      <c r="B543" s="9"/>
      <c r="C543" s="14"/>
      <c r="D543" s="14"/>
      <c r="E543" s="14"/>
      <c r="F543" s="14"/>
      <c r="G543" s="14"/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>
      <c r="A544" s="9"/>
      <c r="B544" s="9"/>
      <c r="C544" s="14"/>
      <c r="D544" s="14"/>
      <c r="E544" s="14"/>
      <c r="F544" s="14"/>
      <c r="G544" s="14"/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>
      <c r="A545" s="9"/>
      <c r="B545" s="9"/>
      <c r="C545" s="14"/>
      <c r="D545" s="14"/>
      <c r="E545" s="14"/>
      <c r="F545" s="14"/>
      <c r="G545" s="14"/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>
      <c r="A546" s="9"/>
      <c r="B546" s="9"/>
      <c r="C546" s="14"/>
      <c r="D546" s="14"/>
      <c r="E546" s="14"/>
      <c r="F546" s="14"/>
      <c r="G546" s="14"/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>
      <c r="A547" s="9"/>
      <c r="B547" s="9"/>
      <c r="C547" s="14"/>
      <c r="D547" s="14"/>
      <c r="E547" s="14"/>
      <c r="F547" s="14"/>
      <c r="G547" s="14"/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>
      <c r="A548" s="9"/>
      <c r="B548" s="9"/>
      <c r="C548" s="14"/>
      <c r="D548" s="14"/>
      <c r="E548" s="14"/>
      <c r="F548" s="14"/>
      <c r="G548" s="14"/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>
      <c r="A549" s="9"/>
      <c r="B549" s="9"/>
      <c r="C549" s="14"/>
      <c r="D549" s="14"/>
      <c r="E549" s="14"/>
      <c r="F549" s="14"/>
      <c r="G549" s="14"/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>
      <c r="A550" s="9"/>
      <c r="B550" s="9"/>
      <c r="C550" s="14"/>
      <c r="D550" s="14"/>
      <c r="E550" s="14"/>
      <c r="F550" s="14"/>
      <c r="G550" s="14"/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>
      <c r="A551" s="9"/>
      <c r="B551" s="9"/>
      <c r="C551" s="14"/>
      <c r="D551" s="14"/>
      <c r="E551" s="14"/>
      <c r="F551" s="14"/>
      <c r="G551" s="14"/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>
      <c r="A552" s="9"/>
      <c r="B552" s="9"/>
      <c r="C552" s="14"/>
      <c r="D552" s="14"/>
      <c r="E552" s="14"/>
      <c r="F552" s="14"/>
      <c r="G552" s="14"/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>
      <c r="A553" s="9"/>
      <c r="B553" s="9"/>
      <c r="C553" s="14"/>
      <c r="D553" s="14"/>
      <c r="E553" s="14"/>
      <c r="F553" s="14"/>
      <c r="G553" s="14"/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>
      <c r="A554" s="9"/>
      <c r="B554" s="9"/>
      <c r="C554" s="14"/>
      <c r="D554" s="14"/>
      <c r="E554" s="14"/>
      <c r="F554" s="14"/>
      <c r="G554" s="14"/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>
      <c r="A555" s="9"/>
      <c r="B555" s="9"/>
      <c r="C555" s="14"/>
      <c r="D555" s="14"/>
      <c r="E555" s="14"/>
      <c r="F555" s="14"/>
      <c r="G555" s="14"/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>
      <c r="A556" s="9"/>
      <c r="B556" s="9"/>
      <c r="C556" s="14"/>
      <c r="D556" s="14"/>
      <c r="E556" s="14"/>
      <c r="F556" s="14"/>
      <c r="G556" s="14"/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>
      <c r="A557" s="9"/>
      <c r="B557" s="9"/>
      <c r="C557" s="14"/>
      <c r="D557" s="14"/>
      <c r="E557" s="14"/>
      <c r="F557" s="14"/>
      <c r="G557" s="14"/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>
      <c r="A558" s="9"/>
      <c r="B558" s="9"/>
      <c r="C558" s="14"/>
      <c r="D558" s="14"/>
      <c r="E558" s="14"/>
      <c r="F558" s="14"/>
      <c r="G558" s="14"/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>
      <c r="A559" s="9"/>
      <c r="B559" s="9"/>
      <c r="C559" s="14"/>
      <c r="D559" s="14"/>
      <c r="E559" s="14"/>
      <c r="F559" s="14"/>
      <c r="G559" s="14"/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>
      <c r="A560" s="9"/>
      <c r="B560" s="9"/>
      <c r="C560" s="14"/>
      <c r="D560" s="14"/>
      <c r="E560" s="14"/>
      <c r="F560" s="14"/>
      <c r="G560" s="14"/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>
      <c r="A561" s="9"/>
      <c r="B561" s="9"/>
      <c r="C561" s="14"/>
      <c r="D561" s="14"/>
      <c r="E561" s="14"/>
      <c r="F561" s="14"/>
      <c r="G561" s="14"/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>
      <c r="A562" s="9"/>
      <c r="B562" s="9"/>
      <c r="C562" s="14"/>
      <c r="D562" s="14"/>
      <c r="E562" s="14"/>
      <c r="F562" s="14"/>
      <c r="G562" s="14"/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>
      <c r="A563" s="9"/>
      <c r="B563" s="9"/>
      <c r="C563" s="14"/>
      <c r="D563" s="14"/>
      <c r="E563" s="14"/>
      <c r="F563" s="14"/>
      <c r="G563" s="14"/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>
      <c r="A564" s="9"/>
      <c r="B564" s="9"/>
      <c r="C564" s="14"/>
      <c r="D564" s="14"/>
      <c r="E564" s="14"/>
      <c r="F564" s="14"/>
      <c r="G564" s="14"/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>
      <c r="A565" s="9"/>
      <c r="B565" s="9"/>
      <c r="C565" s="14"/>
      <c r="D565" s="14"/>
      <c r="E565" s="14"/>
      <c r="F565" s="14"/>
      <c r="G565" s="14"/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>
      <c r="A566" s="9"/>
      <c r="B566" s="9"/>
      <c r="C566" s="14"/>
      <c r="D566" s="14"/>
      <c r="E566" s="14"/>
      <c r="F566" s="14"/>
      <c r="G566" s="14"/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>
      <c r="A567" s="9"/>
      <c r="B567" s="9"/>
      <c r="C567" s="14"/>
      <c r="D567" s="14"/>
      <c r="E567" s="14"/>
      <c r="F567" s="14"/>
      <c r="G567" s="14"/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>
      <c r="A568" s="9"/>
      <c r="B568" s="9"/>
      <c r="C568" s="14"/>
      <c r="D568" s="14"/>
      <c r="E568" s="14"/>
      <c r="F568" s="14"/>
      <c r="G568" s="14"/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>
      <c r="A569" s="9"/>
      <c r="B569" s="9"/>
      <c r="C569" s="14"/>
      <c r="D569" s="14"/>
      <c r="E569" s="14"/>
      <c r="F569" s="14"/>
      <c r="G569" s="14"/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>
      <c r="A570" s="9"/>
      <c r="B570" s="9"/>
      <c r="C570" s="14"/>
      <c r="D570" s="14"/>
      <c r="E570" s="14"/>
      <c r="F570" s="14"/>
      <c r="G570" s="14"/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>
      <c r="A571" s="9"/>
      <c r="B571" s="9"/>
      <c r="C571" s="14"/>
      <c r="D571" s="14"/>
      <c r="E571" s="14"/>
      <c r="F571" s="14"/>
      <c r="G571" s="14"/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>
      <c r="A572" s="9"/>
      <c r="B572" s="9"/>
      <c r="C572" s="14"/>
      <c r="D572" s="14"/>
      <c r="E572" s="14"/>
      <c r="F572" s="14"/>
      <c r="G572" s="14"/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>
      <c r="A573" s="9"/>
      <c r="B573" s="9"/>
      <c r="C573" s="14"/>
      <c r="D573" s="14"/>
      <c r="E573" s="14"/>
      <c r="F573" s="14"/>
      <c r="G573" s="14"/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>
      <c r="A574" s="9"/>
      <c r="B574" s="9"/>
      <c r="C574" s="14"/>
      <c r="D574" s="14"/>
      <c r="E574" s="14"/>
      <c r="F574" s="14"/>
      <c r="G574" s="14"/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>
      <c r="A575" s="9"/>
      <c r="B575" s="9"/>
      <c r="C575" s="14"/>
      <c r="D575" s="14"/>
      <c r="E575" s="14"/>
      <c r="F575" s="14"/>
      <c r="G575" s="14"/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>
      <c r="A576" s="9"/>
      <c r="B576" s="9"/>
      <c r="C576" s="14"/>
      <c r="D576" s="14"/>
      <c r="E576" s="14"/>
      <c r="F576" s="14"/>
      <c r="G576" s="14"/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>
      <c r="A577" s="9"/>
      <c r="B577" s="9"/>
      <c r="C577" s="14"/>
      <c r="D577" s="14"/>
      <c r="E577" s="14"/>
      <c r="F577" s="14"/>
      <c r="G577" s="14"/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>
      <c r="A578" s="9"/>
      <c r="B578" s="9"/>
      <c r="C578" s="14"/>
      <c r="D578" s="14"/>
      <c r="E578" s="14"/>
      <c r="F578" s="14"/>
      <c r="G578" s="14"/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>
      <c r="A579" s="9"/>
      <c r="B579" s="9"/>
      <c r="C579" s="14"/>
      <c r="D579" s="14"/>
      <c r="E579" s="14"/>
      <c r="F579" s="14"/>
      <c r="G579" s="14"/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>
      <c r="A580" s="9"/>
      <c r="B580" s="9"/>
      <c r="C580" s="14"/>
      <c r="D580" s="14"/>
      <c r="E580" s="14"/>
      <c r="F580" s="14"/>
      <c r="G580" s="14"/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>
      <c r="A581" s="9"/>
      <c r="B581" s="9"/>
      <c r="C581" s="14"/>
      <c r="D581" s="14"/>
      <c r="E581" s="14"/>
      <c r="F581" s="14"/>
      <c r="G581" s="14"/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>
      <c r="A582" s="9"/>
      <c r="B582" s="9"/>
      <c r="C582" s="14"/>
      <c r="D582" s="14"/>
      <c r="E582" s="14"/>
      <c r="F582" s="14"/>
      <c r="G582" s="14"/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>
      <c r="A583" s="9"/>
      <c r="B583" s="9"/>
      <c r="C583" s="14"/>
      <c r="D583" s="14"/>
      <c r="E583" s="14"/>
      <c r="F583" s="14"/>
      <c r="G583" s="14"/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>
      <c r="A584" s="9"/>
      <c r="B584" s="9"/>
      <c r="C584" s="14"/>
      <c r="D584" s="14"/>
      <c r="E584" s="14"/>
      <c r="F584" s="14"/>
      <c r="G584" s="14"/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>
      <c r="A585" s="9"/>
      <c r="B585" s="9"/>
      <c r="C585" s="14"/>
      <c r="D585" s="14"/>
      <c r="E585" s="14"/>
      <c r="F585" s="14"/>
      <c r="G585" s="14"/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>
      <c r="A586" s="9"/>
      <c r="B586" s="9"/>
      <c r="C586" s="14"/>
      <c r="D586" s="14"/>
      <c r="E586" s="14"/>
      <c r="F586" s="14"/>
      <c r="G586" s="14"/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>
      <c r="A587" s="9"/>
      <c r="B587" s="9"/>
      <c r="C587" s="14"/>
      <c r="D587" s="14"/>
      <c r="E587" s="14"/>
      <c r="F587" s="14"/>
      <c r="G587" s="14"/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>
      <c r="A588" s="9"/>
      <c r="B588" s="9"/>
      <c r="C588" s="14"/>
      <c r="D588" s="14"/>
      <c r="E588" s="14"/>
      <c r="F588" s="14"/>
      <c r="G588" s="14"/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>
      <c r="A589" s="9"/>
      <c r="B589" s="9"/>
      <c r="C589" s="14"/>
      <c r="D589" s="14"/>
      <c r="E589" s="14"/>
      <c r="F589" s="14"/>
      <c r="G589" s="14"/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>
      <c r="A590" s="9"/>
      <c r="B590" s="9"/>
      <c r="C590" s="14"/>
      <c r="D590" s="14"/>
      <c r="E590" s="14"/>
      <c r="F590" s="14"/>
      <c r="G590" s="14"/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>
      <c r="A591" s="9"/>
      <c r="B591" s="9"/>
      <c r="C591" s="14"/>
      <c r="D591" s="14"/>
      <c r="E591" s="14"/>
      <c r="F591" s="14"/>
      <c r="G591" s="14"/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>
      <c r="A592" s="9"/>
      <c r="B592" s="9"/>
      <c r="C592" s="14"/>
      <c r="D592" s="14"/>
      <c r="E592" s="14"/>
      <c r="F592" s="14"/>
      <c r="G592" s="14"/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>
      <c r="A593" s="9"/>
      <c r="B593" s="9"/>
      <c r="C593" s="14"/>
      <c r="D593" s="14"/>
      <c r="E593" s="14"/>
      <c r="F593" s="14"/>
      <c r="G593" s="14"/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>
      <c r="A594" s="9"/>
      <c r="B594" s="9"/>
      <c r="C594" s="14"/>
      <c r="D594" s="14"/>
      <c r="E594" s="14"/>
      <c r="F594" s="14"/>
      <c r="G594" s="14"/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>
      <c r="A595" s="9"/>
      <c r="B595" s="9"/>
      <c r="C595" s="14"/>
      <c r="D595" s="14"/>
      <c r="E595" s="14"/>
      <c r="F595" s="14"/>
      <c r="G595" s="14"/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>
      <c r="A596" s="9"/>
      <c r="B596" s="9"/>
      <c r="C596" s="14"/>
      <c r="D596" s="14"/>
      <c r="E596" s="14"/>
      <c r="F596" s="14"/>
      <c r="G596" s="14"/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>
      <c r="A597" s="9"/>
      <c r="B597" s="9"/>
      <c r="C597" s="14"/>
      <c r="D597" s="14"/>
      <c r="E597" s="14"/>
      <c r="F597" s="14"/>
      <c r="G597" s="14"/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>
      <c r="A598" s="9"/>
      <c r="B598" s="9"/>
      <c r="C598" s="14"/>
      <c r="D598" s="14"/>
      <c r="E598" s="14"/>
      <c r="F598" s="14"/>
      <c r="G598" s="14"/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>
      <c r="A599" s="9"/>
      <c r="B599" s="9"/>
      <c r="C599" s="14"/>
      <c r="D599" s="14"/>
      <c r="E599" s="14"/>
      <c r="F599" s="14"/>
      <c r="G599" s="14"/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>
      <c r="A600" s="9"/>
      <c r="B600" s="9"/>
      <c r="C600" s="14"/>
      <c r="D600" s="14"/>
      <c r="E600" s="14"/>
      <c r="F600" s="14"/>
      <c r="G600" s="14"/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>
      <c r="A601" s="9"/>
      <c r="B601" s="9"/>
      <c r="C601" s="14"/>
      <c r="D601" s="14"/>
      <c r="E601" s="14"/>
      <c r="F601" s="14"/>
      <c r="G601" s="14"/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>
      <c r="A602" s="9"/>
      <c r="B602" s="9"/>
      <c r="C602" s="14"/>
      <c r="D602" s="14"/>
      <c r="E602" s="14"/>
      <c r="F602" s="14"/>
      <c r="G602" s="14"/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>
      <c r="A603" s="9"/>
      <c r="B603" s="9"/>
      <c r="C603" s="14"/>
      <c r="D603" s="14"/>
      <c r="E603" s="14"/>
      <c r="F603" s="14"/>
      <c r="G603" s="14"/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>
      <c r="A604" s="9"/>
      <c r="B604" s="9"/>
      <c r="C604" s="14"/>
      <c r="D604" s="14"/>
      <c r="E604" s="14"/>
      <c r="F604" s="14"/>
      <c r="G604" s="14"/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>
      <c r="A605" s="9"/>
      <c r="B605" s="9"/>
      <c r="C605" s="14"/>
      <c r="D605" s="14"/>
      <c r="E605" s="14"/>
      <c r="F605" s="14"/>
      <c r="G605" s="14"/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>
      <c r="A606" s="9"/>
      <c r="B606" s="9"/>
      <c r="C606" s="14"/>
      <c r="D606" s="14"/>
      <c r="E606" s="14"/>
      <c r="F606" s="14"/>
      <c r="G606" s="14"/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>
      <c r="A607" s="9"/>
      <c r="B607" s="9"/>
      <c r="C607" s="14"/>
      <c r="D607" s="14"/>
      <c r="E607" s="14"/>
      <c r="F607" s="14"/>
      <c r="G607" s="14"/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>
      <c r="A608" s="9"/>
      <c r="B608" s="9"/>
      <c r="C608" s="14"/>
      <c r="D608" s="14"/>
      <c r="E608" s="14"/>
      <c r="F608" s="14"/>
      <c r="G608" s="14"/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>
      <c r="A609" s="9"/>
      <c r="B609" s="9"/>
      <c r="C609" s="14"/>
      <c r="D609" s="14"/>
      <c r="E609" s="14"/>
      <c r="F609" s="14"/>
      <c r="G609" s="14"/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>
      <c r="A610" s="9"/>
      <c r="B610" s="9"/>
      <c r="C610" s="14"/>
      <c r="D610" s="14"/>
      <c r="E610" s="14"/>
      <c r="F610" s="14"/>
      <c r="G610" s="14"/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>
      <c r="A611" s="9"/>
      <c r="B611" s="9"/>
      <c r="C611" s="14"/>
      <c r="D611" s="14"/>
      <c r="E611" s="14"/>
      <c r="F611" s="14"/>
      <c r="G611" s="14"/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>
      <c r="A612" s="9"/>
      <c r="B612" s="9"/>
      <c r="C612" s="14"/>
      <c r="D612" s="14"/>
      <c r="E612" s="14"/>
      <c r="F612" s="14"/>
      <c r="G612" s="14"/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>
      <c r="A613" s="9"/>
      <c r="B613" s="9"/>
      <c r="C613" s="14"/>
      <c r="D613" s="14"/>
      <c r="E613" s="14"/>
      <c r="F613" s="14"/>
      <c r="G613" s="14"/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>
      <c r="A614" s="9"/>
      <c r="B614" s="9"/>
      <c r="C614" s="14"/>
      <c r="D614" s="14"/>
      <c r="E614" s="14"/>
      <c r="F614" s="14"/>
      <c r="G614" s="14"/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>
      <c r="A615" s="9"/>
      <c r="B615" s="9"/>
      <c r="C615" s="14"/>
      <c r="D615" s="14"/>
      <c r="E615" s="14"/>
      <c r="F615" s="14"/>
      <c r="G615" s="14"/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>
      <c r="A616" s="9"/>
      <c r="B616" s="9"/>
      <c r="C616" s="14"/>
      <c r="D616" s="14"/>
      <c r="E616" s="14"/>
      <c r="F616" s="14"/>
      <c r="G616" s="14"/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>
      <c r="A617" s="9"/>
      <c r="B617" s="9"/>
      <c r="C617" s="14"/>
      <c r="D617" s="14"/>
      <c r="E617" s="14"/>
      <c r="F617" s="14"/>
      <c r="G617" s="14"/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>
      <c r="A618" s="9"/>
      <c r="B618" s="9"/>
      <c r="C618" s="14"/>
      <c r="D618" s="14"/>
      <c r="E618" s="14"/>
      <c r="F618" s="14"/>
      <c r="G618" s="14"/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>
      <c r="A619" s="9"/>
      <c r="B619" s="9"/>
      <c r="C619" s="14"/>
      <c r="D619" s="14"/>
      <c r="E619" s="14"/>
      <c r="F619" s="14"/>
      <c r="G619" s="14"/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>
      <c r="A620" s="9"/>
      <c r="B620" s="9"/>
      <c r="C620" s="14"/>
      <c r="D620" s="14"/>
      <c r="E620" s="14"/>
      <c r="F620" s="14"/>
      <c r="G620" s="14"/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>
      <c r="A621" s="9"/>
      <c r="B621" s="9"/>
      <c r="C621" s="14"/>
      <c r="D621" s="14"/>
      <c r="E621" s="14"/>
      <c r="F621" s="14"/>
      <c r="G621" s="14"/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>
      <c r="A622" s="9"/>
      <c r="B622" s="9"/>
      <c r="C622" s="14"/>
      <c r="D622" s="14"/>
      <c r="E622" s="14"/>
      <c r="F622" s="14"/>
      <c r="G622" s="14"/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>
      <c r="A623" s="9"/>
      <c r="B623" s="9"/>
      <c r="C623" s="14"/>
      <c r="D623" s="14"/>
      <c r="E623" s="14"/>
      <c r="F623" s="14"/>
      <c r="G623" s="14"/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>
      <c r="A624" s="9"/>
      <c r="B624" s="9"/>
      <c r="C624" s="14"/>
      <c r="D624" s="14"/>
      <c r="E624" s="14"/>
      <c r="F624" s="14"/>
      <c r="G624" s="14"/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>
      <c r="A625" s="9"/>
      <c r="B625" s="9"/>
      <c r="C625" s="14"/>
      <c r="D625" s="14"/>
      <c r="E625" s="14"/>
      <c r="F625" s="14"/>
      <c r="G625" s="14"/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>
      <c r="A626" s="9"/>
      <c r="B626" s="9"/>
      <c r="C626" s="14"/>
      <c r="D626" s="14"/>
      <c r="E626" s="14"/>
      <c r="F626" s="14"/>
      <c r="G626" s="14"/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>
      <c r="A627" s="9"/>
      <c r="B627" s="9"/>
      <c r="C627" s="14"/>
      <c r="D627" s="14"/>
      <c r="E627" s="14"/>
      <c r="F627" s="14"/>
      <c r="G627" s="14"/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>
      <c r="A628" s="9"/>
      <c r="B628" s="9"/>
      <c r="C628" s="14"/>
      <c r="D628" s="14"/>
      <c r="E628" s="14"/>
      <c r="F628" s="14"/>
      <c r="G628" s="14"/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>
      <c r="A629" s="9"/>
      <c r="B629" s="9"/>
      <c r="C629" s="14"/>
      <c r="D629" s="14"/>
      <c r="E629" s="14"/>
      <c r="F629" s="14"/>
      <c r="G629" s="14"/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>
      <c r="A630" s="9"/>
      <c r="B630" s="9"/>
      <c r="C630" s="14"/>
      <c r="D630" s="14"/>
      <c r="E630" s="14"/>
      <c r="F630" s="14"/>
      <c r="G630" s="14"/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>
      <c r="A631" s="9"/>
      <c r="B631" s="9"/>
      <c r="C631" s="14"/>
      <c r="D631" s="14"/>
      <c r="E631" s="14"/>
      <c r="F631" s="14"/>
      <c r="G631" s="14"/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>
      <c r="A632" s="9"/>
      <c r="B632" s="9"/>
      <c r="C632" s="14"/>
      <c r="D632" s="14"/>
      <c r="E632" s="14"/>
      <c r="F632" s="14"/>
      <c r="G632" s="14"/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>
      <c r="A633" s="9"/>
      <c r="B633" s="9"/>
      <c r="C633" s="14"/>
      <c r="D633" s="14"/>
      <c r="E633" s="14"/>
      <c r="F633" s="14"/>
      <c r="G633" s="14"/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>
      <c r="A634" s="9"/>
      <c r="B634" s="9"/>
      <c r="C634" s="14"/>
      <c r="D634" s="14"/>
      <c r="E634" s="14"/>
      <c r="F634" s="14"/>
      <c r="G634" s="14"/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>
      <c r="A635" s="9"/>
      <c r="B635" s="9"/>
      <c r="C635" s="14"/>
      <c r="D635" s="14"/>
      <c r="E635" s="14"/>
      <c r="F635" s="14"/>
      <c r="G635" s="14"/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>
      <c r="A636" s="9"/>
      <c r="B636" s="9"/>
      <c r="C636" s="14"/>
      <c r="D636" s="14"/>
      <c r="E636" s="14"/>
      <c r="F636" s="14"/>
      <c r="G636" s="14"/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>
      <c r="A637" s="9"/>
      <c r="B637" s="9"/>
      <c r="C637" s="14"/>
      <c r="D637" s="14"/>
      <c r="E637" s="14"/>
      <c r="F637" s="14"/>
      <c r="G637" s="14"/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>
      <c r="A638" s="9"/>
      <c r="B638" s="9"/>
      <c r="C638" s="14"/>
      <c r="D638" s="14"/>
      <c r="E638" s="14"/>
      <c r="F638" s="14"/>
      <c r="G638" s="14"/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>
      <c r="A639" s="9"/>
      <c r="B639" s="9"/>
      <c r="C639" s="14"/>
      <c r="D639" s="14"/>
      <c r="E639" s="14"/>
      <c r="F639" s="14"/>
      <c r="G639" s="14"/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>
      <c r="A640" s="9"/>
      <c r="B640" s="9"/>
      <c r="C640" s="14"/>
      <c r="D640" s="14"/>
      <c r="E640" s="14"/>
      <c r="F640" s="14"/>
      <c r="G640" s="14"/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>
      <c r="A641" s="9"/>
      <c r="B641" s="9"/>
      <c r="C641" s="14"/>
      <c r="D641" s="14"/>
      <c r="E641" s="14"/>
      <c r="F641" s="14"/>
      <c r="G641" s="14"/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>
      <c r="A642" s="9"/>
      <c r="B642" s="9"/>
      <c r="C642" s="14"/>
      <c r="D642" s="14"/>
      <c r="E642" s="14"/>
      <c r="F642" s="14"/>
      <c r="G642" s="14"/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>
      <c r="A643" s="9"/>
      <c r="B643" s="9"/>
      <c r="C643" s="14"/>
      <c r="D643" s="14"/>
      <c r="E643" s="14"/>
      <c r="F643" s="14"/>
      <c r="G643" s="14"/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>
      <c r="A644" s="9"/>
      <c r="B644" s="9"/>
      <c r="C644" s="14"/>
      <c r="D644" s="14"/>
      <c r="E644" s="14"/>
      <c r="F644" s="14"/>
      <c r="G644" s="14"/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>
      <c r="A645" s="9"/>
      <c r="B645" s="9"/>
      <c r="C645" s="14"/>
      <c r="D645" s="14"/>
      <c r="E645" s="14"/>
      <c r="F645" s="14"/>
      <c r="G645" s="14"/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>
      <c r="A646" s="9"/>
      <c r="B646" s="9"/>
      <c r="C646" s="14"/>
      <c r="D646" s="14"/>
      <c r="E646" s="14"/>
      <c r="F646" s="14"/>
      <c r="G646" s="14"/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>
      <c r="A647" s="9"/>
      <c r="B647" s="9"/>
      <c r="C647" s="14"/>
      <c r="D647" s="14"/>
      <c r="E647" s="14"/>
      <c r="F647" s="14"/>
      <c r="G647" s="14"/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>
      <c r="A648" s="9"/>
      <c r="B648" s="9"/>
      <c r="C648" s="14"/>
      <c r="D648" s="14"/>
      <c r="E648" s="14"/>
      <c r="F648" s="14"/>
      <c r="G648" s="14"/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>
      <c r="A649" s="9"/>
      <c r="B649" s="9"/>
      <c r="C649" s="14"/>
      <c r="D649" s="14"/>
      <c r="E649" s="14"/>
      <c r="F649" s="14"/>
      <c r="G649" s="14"/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>
      <c r="A650" s="9"/>
      <c r="B650" s="9"/>
      <c r="C650" s="14"/>
      <c r="D650" s="14"/>
      <c r="E650" s="14"/>
      <c r="F650" s="14"/>
      <c r="G650" s="14"/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>
      <c r="A651" s="9"/>
      <c r="B651" s="9"/>
      <c r="C651" s="14"/>
      <c r="D651" s="14"/>
      <c r="E651" s="14"/>
      <c r="F651" s="14"/>
      <c r="G651" s="14"/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>
      <c r="A652" s="9"/>
      <c r="B652" s="9"/>
      <c r="C652" s="14"/>
      <c r="D652" s="14"/>
      <c r="E652" s="14"/>
      <c r="F652" s="14"/>
      <c r="G652" s="14"/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>
      <c r="A653" s="9"/>
      <c r="B653" s="9"/>
      <c r="C653" s="14"/>
      <c r="D653" s="14"/>
      <c r="E653" s="14"/>
      <c r="F653" s="14"/>
      <c r="G653" s="14"/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>
      <c r="A654" s="9"/>
      <c r="B654" s="9"/>
      <c r="C654" s="14"/>
      <c r="D654" s="14"/>
      <c r="E654" s="14"/>
      <c r="F654" s="14"/>
      <c r="G654" s="14"/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>
      <c r="A655" s="9"/>
      <c r="B655" s="9"/>
      <c r="C655" s="14"/>
      <c r="D655" s="14"/>
      <c r="E655" s="14"/>
      <c r="F655" s="14"/>
      <c r="G655" s="14"/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>
      <c r="A656" s="9"/>
      <c r="B656" s="9"/>
      <c r="C656" s="14"/>
      <c r="D656" s="14"/>
      <c r="E656" s="14"/>
      <c r="F656" s="14"/>
      <c r="G656" s="14"/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>
      <c r="A657" s="9"/>
      <c r="B657" s="9"/>
      <c r="C657" s="14"/>
      <c r="D657" s="14"/>
      <c r="E657" s="14"/>
      <c r="F657" s="14"/>
      <c r="G657" s="14"/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>
      <c r="A658" s="9"/>
      <c r="B658" s="9"/>
      <c r="C658" s="14"/>
      <c r="D658" s="14"/>
      <c r="E658" s="14"/>
      <c r="F658" s="14"/>
      <c r="G658" s="14"/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>
      <c r="A659" s="9"/>
      <c r="B659" s="9"/>
      <c r="C659" s="14"/>
      <c r="D659" s="14"/>
      <c r="E659" s="14"/>
      <c r="F659" s="14"/>
      <c r="G659" s="14"/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>
      <c r="A660" s="9"/>
      <c r="B660" s="9"/>
      <c r="C660" s="14"/>
      <c r="D660" s="14"/>
      <c r="E660" s="14"/>
      <c r="F660" s="14"/>
      <c r="G660" s="14"/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>
      <c r="A661" s="9"/>
      <c r="B661" s="9"/>
      <c r="C661" s="14"/>
      <c r="D661" s="14"/>
      <c r="E661" s="14"/>
      <c r="F661" s="14"/>
      <c r="G661" s="14"/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>
      <c r="A662" s="9"/>
      <c r="B662" s="9"/>
      <c r="C662" s="14"/>
      <c r="D662" s="14"/>
      <c r="E662" s="14"/>
      <c r="F662" s="14"/>
      <c r="G662" s="14"/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>
      <c r="A663" s="9"/>
      <c r="B663" s="9"/>
      <c r="C663" s="14"/>
      <c r="D663" s="14"/>
      <c r="E663" s="14"/>
      <c r="F663" s="14"/>
      <c r="G663" s="14"/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>
      <c r="A664" s="9"/>
      <c r="B664" s="9"/>
      <c r="C664" s="14"/>
      <c r="D664" s="14"/>
      <c r="E664" s="14"/>
      <c r="F664" s="14"/>
      <c r="G664" s="14"/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>
      <c r="A665" s="9"/>
      <c r="B665" s="9"/>
      <c r="C665" s="14"/>
      <c r="D665" s="14"/>
      <c r="E665" s="14"/>
      <c r="F665" s="14"/>
      <c r="G665" s="14"/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>
      <c r="A666" s="9"/>
      <c r="B666" s="9"/>
      <c r="C666" s="14"/>
      <c r="D666" s="14"/>
      <c r="E666" s="14"/>
      <c r="F666" s="14"/>
      <c r="G666" s="14"/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>
      <c r="A667" s="9"/>
      <c r="B667" s="9"/>
      <c r="C667" s="14"/>
      <c r="D667" s="14"/>
      <c r="E667" s="14"/>
      <c r="F667" s="14"/>
      <c r="G667" s="14"/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>
      <c r="A668" s="9"/>
      <c r="B668" s="9"/>
      <c r="C668" s="14"/>
      <c r="D668" s="14"/>
      <c r="E668" s="14"/>
      <c r="F668" s="14"/>
      <c r="G668" s="14"/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>
      <c r="A669" s="9"/>
      <c r="B669" s="9"/>
      <c r="C669" s="14"/>
      <c r="D669" s="14"/>
      <c r="E669" s="14"/>
      <c r="F669" s="14"/>
      <c r="G669" s="14"/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>
      <c r="A670" s="9"/>
      <c r="B670" s="9"/>
      <c r="C670" s="14"/>
      <c r="D670" s="14"/>
      <c r="E670" s="14"/>
      <c r="F670" s="14"/>
      <c r="G670" s="14"/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>
      <c r="A671" s="9"/>
      <c r="B671" s="9"/>
      <c r="C671" s="14"/>
      <c r="D671" s="14"/>
      <c r="E671" s="14"/>
      <c r="F671" s="14"/>
      <c r="G671" s="14"/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>
      <c r="A672" s="9"/>
      <c r="B672" s="9"/>
      <c r="C672" s="14"/>
      <c r="D672" s="14"/>
      <c r="E672" s="14"/>
      <c r="F672" s="14"/>
      <c r="G672" s="14"/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>
      <c r="A673" s="9"/>
      <c r="B673" s="9"/>
      <c r="C673" s="14"/>
      <c r="D673" s="14"/>
      <c r="E673" s="14"/>
      <c r="F673" s="14"/>
      <c r="G673" s="14"/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>
      <c r="A674" s="9"/>
      <c r="B674" s="9"/>
      <c r="C674" s="14"/>
      <c r="D674" s="14"/>
      <c r="E674" s="14"/>
      <c r="F674" s="14"/>
      <c r="G674" s="14"/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>
      <c r="A675" s="9"/>
      <c r="B675" s="9"/>
      <c r="C675" s="14"/>
      <c r="D675" s="14"/>
      <c r="E675" s="14"/>
      <c r="F675" s="14"/>
      <c r="G675" s="14"/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>
      <c r="A676" s="9"/>
      <c r="B676" s="9"/>
      <c r="C676" s="14"/>
      <c r="D676" s="14"/>
      <c r="E676" s="14"/>
      <c r="F676" s="14"/>
      <c r="G676" s="14"/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>
      <c r="A677" s="9"/>
      <c r="B677" s="9"/>
      <c r="C677" s="14"/>
      <c r="D677" s="14"/>
      <c r="E677" s="14"/>
      <c r="F677" s="14"/>
      <c r="G677" s="14"/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>
      <c r="A678" s="9"/>
      <c r="B678" s="9"/>
      <c r="C678" s="14"/>
      <c r="D678" s="14"/>
      <c r="E678" s="14"/>
      <c r="F678" s="14"/>
      <c r="G678" s="14"/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>
      <c r="A679" s="9"/>
      <c r="B679" s="9"/>
      <c r="C679" s="14"/>
      <c r="D679" s="14"/>
      <c r="E679" s="14"/>
      <c r="F679" s="14"/>
      <c r="G679" s="14"/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>
      <c r="A680" s="9"/>
      <c r="B680" s="9"/>
      <c r="C680" s="14"/>
      <c r="D680" s="14"/>
      <c r="E680" s="14"/>
      <c r="F680" s="14"/>
      <c r="G680" s="14"/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>
      <c r="A681" s="9"/>
      <c r="B681" s="9"/>
      <c r="C681" s="14"/>
      <c r="D681" s="14"/>
      <c r="E681" s="14"/>
      <c r="F681" s="14"/>
      <c r="G681" s="14"/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>
      <c r="A682" s="9"/>
      <c r="B682" s="9"/>
      <c r="C682" s="14"/>
      <c r="D682" s="14"/>
      <c r="E682" s="14"/>
      <c r="F682" s="14"/>
      <c r="G682" s="14"/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>
      <c r="A683" s="9"/>
      <c r="B683" s="9"/>
      <c r="C683" s="14"/>
      <c r="D683" s="14"/>
      <c r="E683" s="14"/>
      <c r="F683" s="14"/>
      <c r="G683" s="14"/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>
      <c r="A684" s="9"/>
      <c r="B684" s="9"/>
      <c r="C684" s="14"/>
      <c r="D684" s="14"/>
      <c r="E684" s="14"/>
      <c r="F684" s="14"/>
      <c r="G684" s="14"/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>
      <c r="A685" s="9"/>
      <c r="B685" s="9"/>
      <c r="C685" s="14"/>
      <c r="D685" s="14"/>
      <c r="E685" s="14"/>
      <c r="F685" s="14"/>
      <c r="G685" s="14"/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>
      <c r="A686" s="9"/>
      <c r="B686" s="9"/>
      <c r="C686" s="14"/>
      <c r="D686" s="14"/>
      <c r="E686" s="14"/>
      <c r="F686" s="14"/>
      <c r="G686" s="14"/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>
      <c r="A687" s="9"/>
      <c r="B687" s="9"/>
      <c r="C687" s="14"/>
      <c r="D687" s="14"/>
      <c r="E687" s="14"/>
      <c r="F687" s="14"/>
      <c r="G687" s="14"/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>
      <c r="A688" s="9"/>
      <c r="B688" s="9"/>
      <c r="C688" s="14"/>
      <c r="D688" s="14"/>
      <c r="E688" s="14"/>
      <c r="F688" s="14"/>
      <c r="G688" s="14"/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>
      <c r="A689" s="9"/>
      <c r="B689" s="9"/>
      <c r="C689" s="14"/>
      <c r="D689" s="14"/>
      <c r="E689" s="14"/>
      <c r="F689" s="14"/>
      <c r="G689" s="14"/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>
      <c r="A690" s="9"/>
      <c r="B690" s="9"/>
      <c r="C690" s="14"/>
      <c r="D690" s="14"/>
      <c r="E690" s="14"/>
      <c r="F690" s="14"/>
      <c r="G690" s="14"/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>
      <c r="A691" s="9"/>
      <c r="B691" s="9"/>
      <c r="C691" s="14"/>
      <c r="D691" s="14"/>
      <c r="E691" s="14"/>
      <c r="F691" s="14"/>
      <c r="G691" s="14"/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>
      <c r="A692" s="9"/>
      <c r="B692" s="9"/>
      <c r="C692" s="14"/>
      <c r="D692" s="14"/>
      <c r="E692" s="14"/>
      <c r="F692" s="14"/>
      <c r="G692" s="14"/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>
      <c r="A693" s="9"/>
      <c r="B693" s="9"/>
      <c r="C693" s="14"/>
      <c r="D693" s="14"/>
      <c r="E693" s="14"/>
      <c r="F693" s="14"/>
      <c r="G693" s="14"/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>
      <c r="A694" s="9"/>
      <c r="B694" s="9"/>
      <c r="C694" s="14"/>
      <c r="D694" s="14"/>
      <c r="E694" s="14"/>
      <c r="F694" s="14"/>
      <c r="G694" s="14"/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>
      <c r="A695" s="9"/>
      <c r="B695" s="9"/>
      <c r="C695" s="14"/>
      <c r="D695" s="14"/>
      <c r="E695" s="14"/>
      <c r="F695" s="14"/>
      <c r="G695" s="14"/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>
      <c r="A696" s="9"/>
      <c r="B696" s="9"/>
      <c r="C696" s="14"/>
      <c r="D696" s="14"/>
      <c r="E696" s="14"/>
      <c r="F696" s="14"/>
      <c r="G696" s="14"/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>
      <c r="A697" s="9"/>
      <c r="B697" s="9"/>
      <c r="C697" s="14"/>
      <c r="D697" s="14"/>
      <c r="E697" s="14"/>
      <c r="F697" s="14"/>
      <c r="G697" s="14"/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>
      <c r="A698" s="9"/>
      <c r="B698" s="9"/>
      <c r="C698" s="14"/>
      <c r="D698" s="14"/>
      <c r="E698" s="14"/>
      <c r="F698" s="14"/>
      <c r="G698" s="14"/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>
      <c r="A699" s="9"/>
      <c r="B699" s="9"/>
      <c r="C699" s="14"/>
      <c r="D699" s="14"/>
      <c r="E699" s="14"/>
      <c r="F699" s="14"/>
      <c r="G699" s="14"/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>
      <c r="A700" s="9"/>
      <c r="B700" s="9"/>
      <c r="C700" s="14"/>
      <c r="D700" s="14"/>
      <c r="E700" s="14"/>
      <c r="F700" s="14"/>
      <c r="G700" s="14"/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>
      <c r="A701" s="9"/>
      <c r="B701" s="9"/>
      <c r="C701" s="14"/>
      <c r="D701" s="14"/>
      <c r="E701" s="14"/>
      <c r="F701" s="14"/>
      <c r="G701" s="14"/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>
      <c r="A702" s="9"/>
      <c r="B702" s="9"/>
      <c r="C702" s="14"/>
      <c r="D702" s="14"/>
      <c r="E702" s="14"/>
      <c r="F702" s="14"/>
      <c r="G702" s="14"/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>
      <c r="A703" s="9"/>
      <c r="B703" s="9"/>
      <c r="C703" s="14"/>
      <c r="D703" s="14"/>
      <c r="E703" s="14"/>
      <c r="F703" s="14"/>
      <c r="G703" s="14"/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>
      <c r="A704" s="9"/>
      <c r="B704" s="9"/>
      <c r="C704" s="14"/>
      <c r="D704" s="14"/>
      <c r="E704" s="14"/>
      <c r="F704" s="14"/>
      <c r="G704" s="14"/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>
      <c r="A705" s="9"/>
      <c r="B705" s="9"/>
      <c r="C705" s="14"/>
      <c r="D705" s="14"/>
      <c r="E705" s="14"/>
      <c r="F705" s="14"/>
      <c r="G705" s="14"/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>
      <c r="A706" s="9"/>
      <c r="B706" s="9"/>
      <c r="C706" s="14"/>
      <c r="D706" s="14"/>
      <c r="E706" s="14"/>
      <c r="F706" s="14"/>
      <c r="G706" s="14"/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>
      <c r="A707" s="9"/>
      <c r="B707" s="9"/>
      <c r="C707" s="14"/>
      <c r="D707" s="14"/>
      <c r="E707" s="14"/>
      <c r="F707" s="14"/>
      <c r="G707" s="14"/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>
      <c r="A708" s="9"/>
      <c r="B708" s="9"/>
      <c r="C708" s="14"/>
      <c r="D708" s="14"/>
      <c r="E708" s="14"/>
      <c r="F708" s="14"/>
      <c r="G708" s="14"/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>
      <c r="A709" s="9"/>
      <c r="B709" s="9"/>
      <c r="C709" s="14"/>
      <c r="D709" s="14"/>
      <c r="E709" s="14"/>
      <c r="F709" s="14"/>
      <c r="G709" s="14"/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>
      <c r="A710" s="9"/>
      <c r="B710" s="9"/>
      <c r="C710" s="14"/>
      <c r="D710" s="14"/>
      <c r="E710" s="14"/>
      <c r="F710" s="14"/>
      <c r="G710" s="14"/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>
      <c r="A711" s="9"/>
      <c r="B711" s="9"/>
      <c r="C711" s="14"/>
      <c r="D711" s="14"/>
      <c r="E711" s="14"/>
      <c r="F711" s="14"/>
      <c r="G711" s="14"/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>
      <c r="A712" s="9"/>
      <c r="B712" s="9"/>
      <c r="C712" s="14"/>
      <c r="D712" s="14"/>
      <c r="E712" s="14"/>
      <c r="F712" s="14"/>
      <c r="G712" s="14"/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>
      <c r="A713" s="9"/>
      <c r="B713" s="9"/>
      <c r="C713" s="14"/>
      <c r="D713" s="14"/>
      <c r="E713" s="14"/>
      <c r="F713" s="14"/>
      <c r="G713" s="14"/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>
      <c r="A714" s="9"/>
      <c r="B714" s="9"/>
      <c r="C714" s="14"/>
      <c r="D714" s="14"/>
      <c r="E714" s="14"/>
      <c r="F714" s="14"/>
      <c r="G714" s="14"/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>
      <c r="A715" s="9"/>
      <c r="B715" s="9"/>
      <c r="C715" s="14"/>
      <c r="D715" s="14"/>
      <c r="E715" s="14"/>
      <c r="F715" s="14"/>
      <c r="G715" s="14"/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>
      <c r="A716" s="9"/>
      <c r="B716" s="9"/>
      <c r="C716" s="14"/>
      <c r="D716" s="14"/>
      <c r="E716" s="14"/>
      <c r="F716" s="14"/>
      <c r="G716" s="14"/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>
      <c r="A717" s="9"/>
      <c r="B717" s="9"/>
      <c r="C717" s="14"/>
      <c r="D717" s="14"/>
      <c r="E717" s="14"/>
      <c r="F717" s="14"/>
      <c r="G717" s="14"/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>
      <c r="A718" s="9"/>
      <c r="B718" s="9"/>
      <c r="C718" s="14"/>
      <c r="D718" s="14"/>
      <c r="E718" s="14"/>
      <c r="F718" s="14"/>
      <c r="G718" s="14"/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>
      <c r="A719" s="9"/>
      <c r="B719" s="9"/>
      <c r="C719" s="14"/>
      <c r="D719" s="14"/>
      <c r="E719" s="14"/>
      <c r="F719" s="14"/>
      <c r="G719" s="14"/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>
      <c r="A720" s="9"/>
      <c r="B720" s="9"/>
      <c r="C720" s="14"/>
      <c r="D720" s="14"/>
      <c r="E720" s="14"/>
      <c r="F720" s="14"/>
      <c r="G720" s="14"/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>
      <c r="A721" s="9"/>
      <c r="B721" s="9"/>
      <c r="C721" s="14"/>
      <c r="D721" s="14"/>
      <c r="E721" s="14"/>
      <c r="F721" s="14"/>
      <c r="G721" s="14"/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>
      <c r="A722" s="9"/>
      <c r="B722" s="9"/>
      <c r="C722" s="14"/>
      <c r="D722" s="14"/>
      <c r="E722" s="14"/>
      <c r="F722" s="14"/>
      <c r="G722" s="14"/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>
      <c r="A723" s="9"/>
      <c r="B723" s="9"/>
      <c r="C723" s="14"/>
      <c r="D723" s="14"/>
      <c r="E723" s="14"/>
      <c r="F723" s="14"/>
      <c r="G723" s="14"/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>
      <c r="A724" s="9"/>
      <c r="B724" s="9"/>
      <c r="C724" s="14"/>
      <c r="D724" s="14"/>
      <c r="E724" s="14"/>
      <c r="F724" s="14"/>
      <c r="G724" s="14"/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>
      <c r="A725" s="9"/>
      <c r="B725" s="9"/>
      <c r="C725" s="14"/>
      <c r="D725" s="14"/>
      <c r="E725" s="14"/>
      <c r="F725" s="14"/>
      <c r="G725" s="14"/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>
      <c r="A726" s="9"/>
      <c r="B726" s="9"/>
      <c r="C726" s="14"/>
      <c r="D726" s="14"/>
      <c r="E726" s="14"/>
      <c r="F726" s="14"/>
      <c r="G726" s="14"/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>
      <c r="A727" s="9"/>
      <c r="B727" s="9"/>
      <c r="C727" s="14"/>
      <c r="D727" s="14"/>
      <c r="E727" s="14"/>
      <c r="F727" s="14"/>
      <c r="G727" s="14"/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>
      <c r="A728" s="9"/>
      <c r="B728" s="9"/>
      <c r="C728" s="14"/>
      <c r="D728" s="14"/>
      <c r="E728" s="14"/>
      <c r="F728" s="14"/>
      <c r="G728" s="14"/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>
      <c r="A729" s="9"/>
      <c r="B729" s="9"/>
      <c r="C729" s="14"/>
      <c r="D729" s="14"/>
      <c r="E729" s="14"/>
      <c r="F729" s="14"/>
      <c r="G729" s="14"/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>
      <c r="A730" s="9"/>
      <c r="B730" s="9"/>
      <c r="C730" s="14"/>
      <c r="D730" s="14"/>
      <c r="E730" s="14"/>
      <c r="F730" s="14"/>
      <c r="G730" s="14"/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>
      <c r="A731" s="9"/>
      <c r="B731" s="9"/>
      <c r="C731" s="14"/>
      <c r="D731" s="14"/>
      <c r="E731" s="14"/>
      <c r="F731" s="14"/>
      <c r="G731" s="14"/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>
      <c r="A732" s="9"/>
      <c r="B732" s="9"/>
      <c r="C732" s="14"/>
      <c r="D732" s="14"/>
      <c r="E732" s="14"/>
      <c r="F732" s="14"/>
      <c r="G732" s="14"/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>
      <c r="A733" s="9"/>
      <c r="B733" s="9"/>
      <c r="C733" s="14"/>
      <c r="D733" s="14"/>
      <c r="E733" s="14"/>
      <c r="F733" s="14"/>
      <c r="G733" s="14"/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>
      <c r="A734" s="9"/>
      <c r="B734" s="9"/>
      <c r="C734" s="14"/>
      <c r="D734" s="14"/>
      <c r="E734" s="14"/>
      <c r="F734" s="14"/>
      <c r="G734" s="14"/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>
      <c r="A735" s="9"/>
      <c r="B735" s="9"/>
      <c r="C735" s="14"/>
      <c r="D735" s="14"/>
      <c r="E735" s="14"/>
      <c r="F735" s="14"/>
      <c r="G735" s="14"/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>
      <c r="A736" s="9"/>
      <c r="B736" s="9"/>
      <c r="C736" s="14"/>
      <c r="D736" s="14"/>
      <c r="E736" s="14"/>
      <c r="F736" s="14"/>
      <c r="G736" s="14"/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>
      <c r="A737" s="9"/>
      <c r="B737" s="9"/>
      <c r="C737" s="14"/>
      <c r="D737" s="14"/>
      <c r="E737" s="14"/>
      <c r="F737" s="14"/>
      <c r="G737" s="14"/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>
      <c r="A738" s="9"/>
      <c r="B738" s="9"/>
      <c r="C738" s="14"/>
      <c r="D738" s="14"/>
      <c r="E738" s="14"/>
      <c r="F738" s="14"/>
      <c r="G738" s="14"/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>
      <c r="A739" s="9"/>
      <c r="B739" s="9"/>
      <c r="C739" s="14"/>
      <c r="D739" s="14"/>
      <c r="E739" s="14"/>
      <c r="F739" s="14"/>
      <c r="G739" s="14"/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>
      <c r="A740" s="9"/>
      <c r="B740" s="9"/>
      <c r="C740" s="14"/>
      <c r="D740" s="14"/>
      <c r="E740" s="14"/>
      <c r="F740" s="14"/>
      <c r="G740" s="14"/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>
      <c r="A741" s="9"/>
      <c r="B741" s="9"/>
      <c r="C741" s="14"/>
      <c r="D741" s="14"/>
      <c r="E741" s="14"/>
      <c r="F741" s="14"/>
      <c r="G741" s="14"/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>
      <c r="A742" s="9"/>
      <c r="B742" s="9"/>
      <c r="C742" s="14"/>
      <c r="D742" s="14"/>
      <c r="E742" s="14"/>
      <c r="F742" s="14"/>
      <c r="G742" s="14"/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>
      <c r="A743" s="9"/>
      <c r="B743" s="9"/>
      <c r="C743" s="14"/>
      <c r="D743" s="14"/>
      <c r="E743" s="14"/>
      <c r="F743" s="14"/>
      <c r="G743" s="14"/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>
      <c r="A744" s="9"/>
      <c r="B744" s="9"/>
      <c r="C744" s="14"/>
      <c r="D744" s="14"/>
      <c r="E744" s="14"/>
      <c r="F744" s="14"/>
      <c r="G744" s="14"/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>
      <c r="A745" s="9"/>
      <c r="B745" s="9"/>
      <c r="C745" s="14"/>
      <c r="D745" s="14"/>
      <c r="E745" s="14"/>
      <c r="F745" s="14"/>
      <c r="G745" s="14"/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>
      <c r="A746" s="9"/>
      <c r="B746" s="9"/>
      <c r="C746" s="14"/>
      <c r="D746" s="14"/>
      <c r="E746" s="14"/>
      <c r="F746" s="14"/>
      <c r="G746" s="14"/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>
      <c r="A747" s="9"/>
      <c r="B747" s="9"/>
      <c r="C747" s="14"/>
      <c r="D747" s="14"/>
      <c r="E747" s="14"/>
      <c r="F747" s="14"/>
      <c r="G747" s="14"/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>
      <c r="A748" s="9"/>
      <c r="B748" s="9"/>
      <c r="C748" s="14"/>
      <c r="D748" s="14"/>
      <c r="E748" s="14"/>
      <c r="F748" s="14"/>
      <c r="G748" s="14"/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>
      <c r="A749" s="9"/>
      <c r="B749" s="9"/>
      <c r="C749" s="14"/>
      <c r="D749" s="14"/>
      <c r="E749" s="14"/>
      <c r="F749" s="14"/>
      <c r="G749" s="14"/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>
      <c r="A750" s="9"/>
      <c r="B750" s="9"/>
      <c r="C750" s="14"/>
      <c r="D750" s="14"/>
      <c r="E750" s="14"/>
      <c r="F750" s="14"/>
      <c r="G750" s="14"/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>
      <c r="A751" s="9"/>
      <c r="B751" s="9"/>
      <c r="C751" s="14"/>
      <c r="D751" s="14"/>
      <c r="E751" s="14"/>
      <c r="F751" s="14"/>
      <c r="G751" s="14"/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>
      <c r="A752" s="9"/>
      <c r="B752" s="9"/>
      <c r="C752" s="14"/>
      <c r="D752" s="14"/>
      <c r="E752" s="14"/>
      <c r="F752" s="14"/>
      <c r="G752" s="14"/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>
      <c r="A753" s="9"/>
      <c r="B753" s="9"/>
      <c r="C753" s="14"/>
      <c r="D753" s="14"/>
      <c r="E753" s="14"/>
      <c r="F753" s="14"/>
      <c r="G753" s="14"/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>
      <c r="A754" s="9"/>
      <c r="B754" s="9"/>
      <c r="C754" s="14"/>
      <c r="D754" s="14"/>
      <c r="E754" s="14"/>
      <c r="F754" s="14"/>
      <c r="G754" s="14"/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>
      <c r="A755" s="9"/>
      <c r="B755" s="9"/>
      <c r="C755" s="14"/>
      <c r="D755" s="14"/>
      <c r="E755" s="14"/>
      <c r="F755" s="14"/>
      <c r="G755" s="14"/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>
      <c r="A756" s="9"/>
      <c r="B756" s="9"/>
      <c r="C756" s="14"/>
      <c r="D756" s="14"/>
      <c r="E756" s="14"/>
      <c r="F756" s="14"/>
      <c r="G756" s="14"/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>
      <c r="A757" s="9"/>
      <c r="B757" s="9"/>
      <c r="C757" s="14"/>
      <c r="D757" s="14"/>
      <c r="E757" s="14"/>
      <c r="F757" s="14"/>
      <c r="G757" s="14"/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>
      <c r="A758" s="9"/>
      <c r="B758" s="9"/>
      <c r="C758" s="14"/>
      <c r="D758" s="14"/>
      <c r="E758" s="14"/>
      <c r="F758" s="14"/>
      <c r="G758" s="14"/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>
      <c r="A759" s="9"/>
      <c r="B759" s="9"/>
      <c r="C759" s="14"/>
      <c r="D759" s="14"/>
      <c r="E759" s="14"/>
      <c r="F759" s="14"/>
      <c r="G759" s="14"/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>
      <c r="A760" s="9"/>
      <c r="B760" s="9"/>
      <c r="C760" s="14"/>
      <c r="D760" s="14"/>
      <c r="E760" s="14"/>
      <c r="F760" s="14"/>
      <c r="G760" s="14"/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>
      <c r="A761" s="9"/>
      <c r="B761" s="9"/>
      <c r="C761" s="14"/>
      <c r="D761" s="14"/>
      <c r="E761" s="14"/>
      <c r="F761" s="14"/>
      <c r="G761" s="14"/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>
      <c r="A762" s="9"/>
      <c r="B762" s="9"/>
      <c r="C762" s="14"/>
      <c r="D762" s="14"/>
      <c r="E762" s="14"/>
      <c r="F762" s="14"/>
      <c r="G762" s="14"/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>
      <c r="A763" s="9"/>
      <c r="B763" s="9"/>
      <c r="C763" s="14"/>
      <c r="D763" s="14"/>
      <c r="E763" s="14"/>
      <c r="F763" s="14"/>
      <c r="G763" s="14"/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>
      <c r="A764" s="9"/>
      <c r="B764" s="9"/>
      <c r="C764" s="14"/>
      <c r="D764" s="14"/>
      <c r="E764" s="14"/>
      <c r="F764" s="14"/>
      <c r="G764" s="14"/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>
      <c r="A765" s="9"/>
      <c r="B765" s="9"/>
      <c r="C765" s="14"/>
      <c r="D765" s="14"/>
      <c r="E765" s="14"/>
      <c r="F765" s="14"/>
      <c r="G765" s="14"/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>
      <c r="A766" s="9"/>
      <c r="B766" s="9"/>
      <c r="C766" s="14"/>
      <c r="D766" s="14"/>
      <c r="E766" s="14"/>
      <c r="F766" s="14"/>
      <c r="G766" s="14"/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>
      <c r="A767" s="9"/>
      <c r="B767" s="9"/>
      <c r="C767" s="14"/>
      <c r="D767" s="14"/>
      <c r="E767" s="14"/>
      <c r="F767" s="14"/>
      <c r="G767" s="14"/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>
      <c r="A768" s="9"/>
      <c r="B768" s="9"/>
      <c r="C768" s="14"/>
      <c r="D768" s="14"/>
      <c r="E768" s="14"/>
      <c r="F768" s="14"/>
      <c r="G768" s="14"/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>
      <c r="A769" s="9"/>
      <c r="B769" s="9"/>
      <c r="C769" s="14"/>
      <c r="D769" s="14"/>
      <c r="E769" s="14"/>
      <c r="F769" s="14"/>
      <c r="G769" s="14"/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>
      <c r="A770" s="9"/>
      <c r="B770" s="9"/>
      <c r="C770" s="14"/>
      <c r="D770" s="14"/>
      <c r="E770" s="14"/>
      <c r="F770" s="14"/>
      <c r="G770" s="14"/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>
      <c r="A771" s="9"/>
      <c r="B771" s="9"/>
      <c r="C771" s="14"/>
      <c r="D771" s="14"/>
      <c r="E771" s="14"/>
      <c r="F771" s="14"/>
      <c r="G771" s="14"/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>
      <c r="A772" s="9"/>
      <c r="B772" s="9"/>
      <c r="C772" s="14"/>
      <c r="D772" s="14"/>
      <c r="E772" s="14"/>
      <c r="F772" s="14"/>
      <c r="G772" s="14"/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>
      <c r="A773" s="9"/>
      <c r="B773" s="9"/>
      <c r="C773" s="14"/>
      <c r="D773" s="14"/>
      <c r="E773" s="14"/>
      <c r="F773" s="14"/>
      <c r="G773" s="14"/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>
      <c r="A774" s="9"/>
      <c r="B774" s="9"/>
      <c r="C774" s="14"/>
      <c r="D774" s="14"/>
      <c r="E774" s="14"/>
      <c r="F774" s="14"/>
      <c r="G774" s="14"/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>
      <c r="A775" s="9"/>
      <c r="B775" s="9"/>
      <c r="C775" s="14"/>
      <c r="D775" s="14"/>
      <c r="E775" s="14"/>
      <c r="F775" s="14"/>
      <c r="G775" s="14"/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>
      <c r="A776" s="9"/>
      <c r="B776" s="9"/>
      <c r="C776" s="14"/>
      <c r="D776" s="14"/>
      <c r="E776" s="14"/>
      <c r="F776" s="14"/>
      <c r="G776" s="14"/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>
      <c r="A777" s="9"/>
      <c r="B777" s="9"/>
      <c r="C777" s="14"/>
      <c r="D777" s="14"/>
      <c r="E777" s="14"/>
      <c r="F777" s="14"/>
      <c r="G777" s="14"/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>
      <c r="A778" s="9"/>
      <c r="B778" s="9"/>
      <c r="C778" s="14"/>
      <c r="D778" s="14"/>
      <c r="E778" s="14"/>
      <c r="F778" s="14"/>
      <c r="G778" s="14"/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>
      <c r="A779" s="9"/>
      <c r="B779" s="9"/>
      <c r="C779" s="14"/>
      <c r="D779" s="14"/>
      <c r="E779" s="14"/>
      <c r="F779" s="14"/>
      <c r="G779" s="14"/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>
      <c r="A780" s="9"/>
      <c r="B780" s="9"/>
      <c r="C780" s="14"/>
      <c r="D780" s="14"/>
      <c r="E780" s="14"/>
      <c r="F780" s="14"/>
      <c r="G780" s="14"/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>
      <c r="A781" s="9"/>
      <c r="B781" s="9"/>
      <c r="C781" s="14"/>
      <c r="D781" s="14"/>
      <c r="E781" s="14"/>
      <c r="F781" s="14"/>
      <c r="G781" s="14"/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>
      <c r="A782" s="9"/>
      <c r="B782" s="9"/>
      <c r="C782" s="14"/>
      <c r="D782" s="14"/>
      <c r="E782" s="14"/>
      <c r="F782" s="14"/>
      <c r="G782" s="14"/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>
      <c r="A783" s="9"/>
      <c r="B783" s="9"/>
      <c r="C783" s="14"/>
      <c r="D783" s="14"/>
      <c r="E783" s="14"/>
      <c r="F783" s="14"/>
      <c r="G783" s="14"/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>
      <c r="A784" s="9"/>
      <c r="B784" s="9"/>
      <c r="C784" s="14"/>
      <c r="D784" s="14"/>
      <c r="E784" s="14"/>
      <c r="F784" s="14"/>
      <c r="G784" s="14"/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>
      <c r="A785" s="9"/>
      <c r="B785" s="9"/>
      <c r="C785" s="14"/>
      <c r="D785" s="14"/>
      <c r="E785" s="14"/>
      <c r="F785" s="14"/>
      <c r="G785" s="14"/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>
      <c r="A786" s="9"/>
      <c r="B786" s="9"/>
      <c r="C786" s="14"/>
      <c r="D786" s="14"/>
      <c r="E786" s="14"/>
      <c r="F786" s="14"/>
      <c r="G786" s="14"/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>
      <c r="A787" s="9"/>
      <c r="B787" s="9"/>
      <c r="C787" s="14"/>
      <c r="D787" s="14"/>
      <c r="E787" s="14"/>
      <c r="F787" s="14"/>
      <c r="G787" s="14"/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>
      <c r="A788" s="9"/>
      <c r="B788" s="9"/>
      <c r="C788" s="14"/>
      <c r="D788" s="14"/>
      <c r="E788" s="14"/>
      <c r="F788" s="14"/>
      <c r="G788" s="14"/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>
      <c r="A789" s="9"/>
      <c r="B789" s="9"/>
      <c r="C789" s="14"/>
      <c r="D789" s="14"/>
      <c r="E789" s="14"/>
      <c r="F789" s="14"/>
      <c r="G789" s="14"/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>
      <c r="A790" s="9"/>
      <c r="B790" s="9"/>
      <c r="C790" s="14"/>
      <c r="D790" s="14"/>
      <c r="E790" s="14"/>
      <c r="F790" s="14"/>
      <c r="G790" s="14"/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>
      <c r="A791" s="9"/>
      <c r="B791" s="9"/>
      <c r="C791" s="14"/>
      <c r="D791" s="14"/>
      <c r="E791" s="14"/>
      <c r="F791" s="14"/>
      <c r="G791" s="14"/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>
      <c r="A792" s="9"/>
      <c r="B792" s="9"/>
      <c r="C792" s="14"/>
      <c r="D792" s="14"/>
      <c r="E792" s="14"/>
      <c r="F792" s="14"/>
      <c r="G792" s="14"/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>
      <c r="A793" s="9"/>
      <c r="B793" s="9"/>
      <c r="C793" s="14"/>
      <c r="D793" s="14"/>
      <c r="E793" s="14"/>
      <c r="F793" s="14"/>
      <c r="G793" s="14"/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>
      <c r="A794" s="9"/>
      <c r="B794" s="9"/>
      <c r="C794" s="14"/>
      <c r="D794" s="14"/>
      <c r="E794" s="14"/>
      <c r="F794" s="14"/>
      <c r="G794" s="14"/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>
      <c r="A795" s="9"/>
      <c r="B795" s="9"/>
      <c r="C795" s="14"/>
      <c r="D795" s="14"/>
      <c r="E795" s="14"/>
      <c r="F795" s="14"/>
      <c r="G795" s="14"/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>
      <c r="A796" s="9"/>
      <c r="B796" s="9"/>
      <c r="C796" s="14"/>
      <c r="D796" s="14"/>
      <c r="E796" s="14"/>
      <c r="F796" s="14"/>
      <c r="G796" s="14"/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>
      <c r="A797" s="9"/>
      <c r="B797" s="9"/>
      <c r="C797" s="14"/>
      <c r="D797" s="14"/>
      <c r="E797" s="14"/>
      <c r="F797" s="14"/>
      <c r="G797" s="14"/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>
      <c r="A798" s="9"/>
      <c r="B798" s="9"/>
      <c r="C798" s="14"/>
      <c r="D798" s="14"/>
      <c r="E798" s="14"/>
      <c r="F798" s="14"/>
      <c r="G798" s="14"/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>
      <c r="A799" s="9"/>
      <c r="B799" s="9"/>
      <c r="C799" s="14"/>
      <c r="D799" s="14"/>
      <c r="E799" s="14"/>
      <c r="F799" s="14"/>
      <c r="G799" s="14"/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>
      <c r="A800" s="9"/>
      <c r="B800" s="9"/>
      <c r="C800" s="14"/>
      <c r="D800" s="14"/>
      <c r="E800" s="14"/>
      <c r="F800" s="14"/>
      <c r="G800" s="14"/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>
      <c r="A801" s="9"/>
      <c r="B801" s="9"/>
      <c r="C801" s="14"/>
      <c r="D801" s="14"/>
      <c r="E801" s="14"/>
      <c r="F801" s="14"/>
      <c r="G801" s="14"/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>
      <c r="A802" s="9"/>
      <c r="B802" s="9"/>
      <c r="C802" s="14"/>
      <c r="D802" s="14"/>
      <c r="E802" s="14"/>
      <c r="F802" s="14"/>
      <c r="G802" s="14"/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>
      <c r="A803" s="9"/>
      <c r="B803" s="9"/>
      <c r="C803" s="14"/>
      <c r="D803" s="14"/>
      <c r="E803" s="14"/>
      <c r="F803" s="14"/>
      <c r="G803" s="14"/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>
      <c r="A804" s="9"/>
      <c r="B804" s="9"/>
      <c r="C804" s="14"/>
      <c r="D804" s="14"/>
      <c r="E804" s="14"/>
      <c r="F804" s="14"/>
      <c r="G804" s="14"/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>
      <c r="A805" s="9"/>
      <c r="B805" s="9"/>
      <c r="C805" s="14"/>
      <c r="D805" s="14"/>
      <c r="E805" s="14"/>
      <c r="F805" s="14"/>
      <c r="G805" s="14"/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>
      <c r="A806" s="9"/>
      <c r="B806" s="9"/>
      <c r="C806" s="14"/>
      <c r="D806" s="14"/>
      <c r="E806" s="14"/>
      <c r="F806" s="14"/>
      <c r="G806" s="14"/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>
      <c r="A807" s="9"/>
      <c r="B807" s="9"/>
      <c r="C807" s="14"/>
      <c r="D807" s="14"/>
      <c r="E807" s="14"/>
      <c r="F807" s="14"/>
      <c r="G807" s="14"/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>
      <c r="A808" s="9"/>
      <c r="B808" s="9"/>
      <c r="C808" s="14"/>
      <c r="D808" s="14"/>
      <c r="E808" s="14"/>
      <c r="F808" s="14"/>
      <c r="G808" s="14"/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>
      <c r="A809" s="9"/>
      <c r="B809" s="9"/>
      <c r="C809" s="14"/>
      <c r="D809" s="14"/>
      <c r="E809" s="14"/>
      <c r="F809" s="14"/>
      <c r="G809" s="14"/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>
      <c r="A810" s="9"/>
      <c r="B810" s="9"/>
      <c r="C810" s="14"/>
      <c r="D810" s="14"/>
      <c r="E810" s="14"/>
      <c r="F810" s="14"/>
      <c r="G810" s="14"/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>
      <c r="A811" s="9"/>
      <c r="B811" s="9"/>
      <c r="C811" s="14"/>
      <c r="D811" s="14"/>
      <c r="E811" s="14"/>
      <c r="F811" s="14"/>
      <c r="G811" s="14"/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>
      <c r="A812" s="9"/>
      <c r="B812" s="9"/>
      <c r="C812" s="14"/>
      <c r="D812" s="14"/>
      <c r="E812" s="14"/>
      <c r="F812" s="14"/>
      <c r="G812" s="14"/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>
      <c r="A813" s="9"/>
      <c r="B813" s="9"/>
      <c r="C813" s="14"/>
      <c r="D813" s="14"/>
      <c r="E813" s="14"/>
      <c r="F813" s="14"/>
      <c r="G813" s="14"/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>
      <c r="A814" s="9"/>
      <c r="B814" s="9"/>
      <c r="C814" s="14"/>
      <c r="D814" s="14"/>
      <c r="E814" s="14"/>
      <c r="F814" s="14"/>
      <c r="G814" s="14"/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>
      <c r="A815" s="9"/>
      <c r="B815" s="9"/>
      <c r="C815" s="14"/>
      <c r="D815" s="14"/>
      <c r="E815" s="14"/>
      <c r="F815" s="14"/>
      <c r="G815" s="14"/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>
      <c r="A816" s="9"/>
      <c r="B816" s="9"/>
      <c r="C816" s="14"/>
      <c r="D816" s="14"/>
      <c r="E816" s="14"/>
      <c r="F816" s="14"/>
      <c r="G816" s="14"/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>
      <c r="A817" s="9"/>
      <c r="B817" s="9"/>
      <c r="C817" s="14"/>
      <c r="D817" s="14"/>
      <c r="E817" s="14"/>
      <c r="F817" s="14"/>
      <c r="G817" s="14"/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>
      <c r="A818" s="9"/>
      <c r="B818" s="9"/>
      <c r="C818" s="14"/>
      <c r="D818" s="14"/>
      <c r="E818" s="14"/>
      <c r="F818" s="14"/>
      <c r="G818" s="14"/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>
      <c r="A819" s="9"/>
      <c r="B819" s="9"/>
      <c r="C819" s="14"/>
      <c r="D819" s="14"/>
      <c r="E819" s="14"/>
      <c r="F819" s="14"/>
      <c r="G819" s="14"/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>
      <c r="A820" s="9"/>
      <c r="B820" s="9"/>
      <c r="C820" s="14"/>
      <c r="D820" s="14"/>
      <c r="E820" s="14"/>
      <c r="F820" s="14"/>
      <c r="G820" s="14"/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>
      <c r="A821" s="9"/>
      <c r="B821" s="9"/>
      <c r="C821" s="14"/>
      <c r="D821" s="14"/>
      <c r="E821" s="14"/>
      <c r="F821" s="14"/>
      <c r="G821" s="14"/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>
      <c r="A822" s="9"/>
      <c r="B822" s="9"/>
      <c r="C822" s="14"/>
      <c r="D822" s="14"/>
      <c r="E822" s="14"/>
      <c r="F822" s="14"/>
      <c r="G822" s="14"/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>
      <c r="A823" s="9"/>
      <c r="B823" s="9"/>
      <c r="C823" s="14"/>
      <c r="D823" s="14"/>
      <c r="E823" s="14"/>
      <c r="F823" s="14"/>
      <c r="G823" s="14"/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>
      <c r="A824" s="9"/>
      <c r="B824" s="9"/>
      <c r="C824" s="14"/>
      <c r="D824" s="14"/>
      <c r="E824" s="14"/>
      <c r="F824" s="14"/>
      <c r="G824" s="14"/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>
      <c r="A825" s="9"/>
      <c r="B825" s="9"/>
      <c r="C825" s="14"/>
      <c r="D825" s="14"/>
      <c r="E825" s="14"/>
      <c r="F825" s="14"/>
      <c r="G825" s="14"/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>
      <c r="A826" s="9"/>
      <c r="B826" s="9"/>
      <c r="C826" s="14"/>
      <c r="D826" s="14"/>
      <c r="E826" s="14"/>
      <c r="F826" s="14"/>
      <c r="G826" s="14"/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>
      <c r="A827" s="9"/>
      <c r="B827" s="9"/>
      <c r="C827" s="14"/>
      <c r="D827" s="14"/>
      <c r="E827" s="14"/>
      <c r="F827" s="14"/>
      <c r="G827" s="14"/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>
      <c r="A828" s="9"/>
      <c r="B828" s="9"/>
      <c r="C828" s="14"/>
      <c r="D828" s="14"/>
      <c r="E828" s="14"/>
      <c r="F828" s="14"/>
      <c r="G828" s="14"/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>
      <c r="A829" s="9"/>
      <c r="B829" s="9"/>
      <c r="C829" s="14"/>
      <c r="D829" s="14"/>
      <c r="E829" s="14"/>
      <c r="F829" s="14"/>
      <c r="G829" s="14"/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>
      <c r="A830" s="9"/>
      <c r="B830" s="9"/>
      <c r="C830" s="14"/>
      <c r="D830" s="14"/>
      <c r="E830" s="14"/>
      <c r="F830" s="14"/>
      <c r="G830" s="14"/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>
      <c r="A831" s="9"/>
      <c r="B831" s="9"/>
      <c r="C831" s="14"/>
      <c r="D831" s="14"/>
      <c r="E831" s="14"/>
      <c r="F831" s="14"/>
      <c r="G831" s="14"/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>
      <c r="A832" s="9"/>
      <c r="B832" s="9"/>
      <c r="C832" s="14"/>
      <c r="D832" s="14"/>
      <c r="E832" s="14"/>
      <c r="F832" s="14"/>
      <c r="G832" s="14"/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>
      <c r="A833" s="9"/>
      <c r="B833" s="9"/>
      <c r="C833" s="14"/>
      <c r="D833" s="14"/>
      <c r="E833" s="14"/>
      <c r="F833" s="14"/>
      <c r="G833" s="14"/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>
      <c r="A834" s="9"/>
      <c r="B834" s="9"/>
      <c r="C834" s="14"/>
      <c r="D834" s="14"/>
      <c r="E834" s="14"/>
      <c r="F834" s="14"/>
      <c r="G834" s="14"/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>
      <c r="A835" s="9"/>
      <c r="B835" s="9"/>
      <c r="C835" s="14"/>
      <c r="D835" s="14"/>
      <c r="E835" s="14"/>
      <c r="F835" s="14"/>
      <c r="G835" s="14"/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>
      <c r="A836" s="9"/>
      <c r="B836" s="9"/>
      <c r="C836" s="14"/>
      <c r="D836" s="14"/>
      <c r="E836" s="14"/>
      <c r="F836" s="14"/>
      <c r="G836" s="14"/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>
      <c r="A837" s="9"/>
      <c r="B837" s="9"/>
      <c r="C837" s="14"/>
      <c r="D837" s="14"/>
      <c r="E837" s="14"/>
      <c r="F837" s="14"/>
      <c r="G837" s="14"/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>
      <c r="A838" s="9"/>
      <c r="B838" s="9"/>
      <c r="C838" s="14"/>
      <c r="D838" s="14"/>
      <c r="E838" s="14"/>
      <c r="F838" s="14"/>
      <c r="G838" s="14"/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>
      <c r="A839" s="9"/>
      <c r="B839" s="9"/>
      <c r="C839" s="14"/>
      <c r="D839" s="14"/>
      <c r="E839" s="14"/>
      <c r="F839" s="14"/>
      <c r="G839" s="14"/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>
      <c r="A840" s="9"/>
      <c r="B840" s="9"/>
      <c r="C840" s="14"/>
      <c r="D840" s="14"/>
      <c r="E840" s="14"/>
      <c r="F840" s="14"/>
      <c r="G840" s="14"/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>
      <c r="A841" s="9"/>
      <c r="B841" s="9"/>
      <c r="C841" s="14"/>
      <c r="D841" s="14"/>
      <c r="E841" s="14"/>
      <c r="F841" s="14"/>
      <c r="G841" s="14"/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>
      <c r="A842" s="9"/>
      <c r="B842" s="9"/>
      <c r="C842" s="14"/>
      <c r="D842" s="14"/>
      <c r="E842" s="14"/>
      <c r="F842" s="14"/>
      <c r="G842" s="14"/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>
      <c r="A843" s="9"/>
      <c r="B843" s="9"/>
      <c r="C843" s="14"/>
      <c r="D843" s="14"/>
      <c r="E843" s="14"/>
      <c r="F843" s="14"/>
      <c r="G843" s="14"/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>
      <c r="A844" s="9"/>
      <c r="B844" s="9"/>
      <c r="C844" s="14"/>
      <c r="D844" s="14"/>
      <c r="E844" s="14"/>
      <c r="F844" s="14"/>
      <c r="G844" s="14"/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>
      <c r="A845" s="9"/>
      <c r="B845" s="9"/>
      <c r="C845" s="14"/>
      <c r="D845" s="14"/>
      <c r="E845" s="14"/>
      <c r="F845" s="14"/>
      <c r="G845" s="14"/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>
      <c r="A846" s="9"/>
      <c r="B846" s="9"/>
      <c r="C846" s="14"/>
      <c r="D846" s="14"/>
      <c r="E846" s="14"/>
      <c r="F846" s="14"/>
      <c r="G846" s="14"/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>
      <c r="A847" s="9"/>
      <c r="B847" s="9"/>
      <c r="C847" s="14"/>
      <c r="D847" s="14"/>
      <c r="E847" s="14"/>
      <c r="F847" s="14"/>
      <c r="G847" s="14"/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>
      <c r="A848" s="9"/>
      <c r="B848" s="9"/>
      <c r="C848" s="14"/>
      <c r="D848" s="14"/>
      <c r="E848" s="14"/>
      <c r="F848" s="14"/>
      <c r="G848" s="14"/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>
      <c r="A849" s="9"/>
      <c r="B849" s="9"/>
      <c r="C849" s="14"/>
      <c r="D849" s="14"/>
      <c r="E849" s="14"/>
      <c r="F849" s="14"/>
      <c r="G849" s="14"/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>
      <c r="A850" s="9"/>
      <c r="B850" s="9"/>
      <c r="C850" s="14"/>
      <c r="D850" s="14"/>
      <c r="E850" s="14"/>
      <c r="F850" s="14"/>
      <c r="G850" s="14"/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>
      <c r="A851" s="9"/>
      <c r="B851" s="9"/>
      <c r="C851" s="14"/>
      <c r="D851" s="14"/>
      <c r="E851" s="14"/>
      <c r="F851" s="14"/>
      <c r="G851" s="14"/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>
      <c r="A852" s="9"/>
      <c r="B852" s="9"/>
      <c r="C852" s="14"/>
      <c r="D852" s="14"/>
      <c r="E852" s="14"/>
      <c r="F852" s="14"/>
      <c r="G852" s="14"/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>
      <c r="A853" s="9"/>
      <c r="B853" s="9"/>
      <c r="C853" s="14"/>
      <c r="D853" s="14"/>
      <c r="E853" s="14"/>
      <c r="F853" s="14"/>
      <c r="G853" s="14"/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>
      <c r="A854" s="9"/>
      <c r="B854" s="9"/>
      <c r="C854" s="14"/>
      <c r="D854" s="14"/>
      <c r="E854" s="14"/>
      <c r="F854" s="14"/>
      <c r="G854" s="14"/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>
      <c r="A855" s="9"/>
      <c r="B855" s="9"/>
      <c r="C855" s="14"/>
      <c r="D855" s="14"/>
      <c r="E855" s="14"/>
      <c r="F855" s="14"/>
      <c r="G855" s="14"/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>
      <c r="A856" s="9"/>
      <c r="B856" s="9"/>
      <c r="C856" s="14"/>
      <c r="D856" s="14"/>
      <c r="E856" s="14"/>
      <c r="F856" s="14"/>
      <c r="G856" s="14"/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>
      <c r="A857" s="9"/>
      <c r="B857" s="9"/>
      <c r="C857" s="14"/>
      <c r="D857" s="14"/>
      <c r="E857" s="14"/>
      <c r="F857" s="14"/>
      <c r="G857" s="14"/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>
      <c r="A858" s="9"/>
      <c r="B858" s="9"/>
      <c r="C858" s="14"/>
      <c r="D858" s="14"/>
      <c r="E858" s="14"/>
      <c r="F858" s="14"/>
      <c r="G858" s="14"/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>
      <c r="A859" s="9"/>
      <c r="B859" s="9"/>
      <c r="C859" s="14"/>
      <c r="D859" s="14"/>
      <c r="E859" s="14"/>
      <c r="F859" s="14"/>
      <c r="G859" s="14"/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>
      <c r="A860" s="9"/>
      <c r="B860" s="9"/>
      <c r="C860" s="14"/>
      <c r="D860" s="14"/>
      <c r="E860" s="14"/>
      <c r="F860" s="14"/>
      <c r="G860" s="14"/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>
      <c r="A861" s="9"/>
      <c r="B861" s="9"/>
      <c r="C861" s="14"/>
      <c r="D861" s="14"/>
      <c r="E861" s="14"/>
      <c r="F861" s="14"/>
      <c r="G861" s="14"/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>
      <c r="A862" s="9"/>
      <c r="B862" s="9"/>
      <c r="C862" s="14"/>
      <c r="D862" s="14"/>
      <c r="E862" s="14"/>
      <c r="F862" s="14"/>
      <c r="G862" s="14"/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>
      <c r="A863" s="9"/>
      <c r="B863" s="9"/>
      <c r="C863" s="14"/>
      <c r="D863" s="14"/>
      <c r="E863" s="14"/>
      <c r="F863" s="14"/>
      <c r="G863" s="14"/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>
      <c r="A864" s="9"/>
      <c r="B864" s="9"/>
      <c r="C864" s="14"/>
      <c r="D864" s="14"/>
      <c r="E864" s="14"/>
      <c r="F864" s="14"/>
      <c r="G864" s="14"/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>
      <c r="A865" s="9"/>
      <c r="B865" s="9"/>
      <c r="C865" s="14"/>
      <c r="D865" s="14"/>
      <c r="E865" s="14"/>
      <c r="F865" s="14"/>
      <c r="G865" s="14"/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>
      <c r="A866" s="9"/>
      <c r="B866" s="9"/>
      <c r="C866" s="14"/>
      <c r="D866" s="14"/>
      <c r="E866" s="14"/>
      <c r="F866" s="14"/>
      <c r="G866" s="14"/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>
      <c r="A867" s="9"/>
      <c r="B867" s="9"/>
      <c r="C867" s="14"/>
      <c r="D867" s="14"/>
      <c r="E867" s="14"/>
      <c r="F867" s="14"/>
      <c r="G867" s="14"/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>
      <c r="A868" s="9"/>
      <c r="B868" s="9"/>
      <c r="C868" s="14"/>
      <c r="D868" s="14"/>
      <c r="E868" s="14"/>
      <c r="F868" s="14"/>
      <c r="G868" s="14"/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>
      <c r="A869" s="9"/>
      <c r="B869" s="9"/>
      <c r="C869" s="14"/>
      <c r="D869" s="14"/>
      <c r="E869" s="14"/>
      <c r="F869" s="14"/>
      <c r="G869" s="14"/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>
      <c r="A870" s="9"/>
      <c r="B870" s="9"/>
      <c r="C870" s="14"/>
      <c r="D870" s="14"/>
      <c r="E870" s="14"/>
      <c r="F870" s="14"/>
      <c r="G870" s="14"/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>
      <c r="A871" s="9"/>
      <c r="B871" s="9"/>
      <c r="C871" s="14"/>
      <c r="D871" s="14"/>
      <c r="E871" s="14"/>
      <c r="F871" s="14"/>
      <c r="G871" s="14"/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>
      <c r="A872" s="9"/>
      <c r="B872" s="9"/>
      <c r="C872" s="14"/>
      <c r="D872" s="14"/>
      <c r="E872" s="14"/>
      <c r="F872" s="14"/>
      <c r="G872" s="14"/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>
      <c r="A873" s="9"/>
      <c r="B873" s="9"/>
      <c r="C873" s="14"/>
      <c r="D873" s="14"/>
      <c r="E873" s="14"/>
      <c r="F873" s="14"/>
      <c r="G873" s="14"/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>
      <c r="A874" s="9"/>
      <c r="B874" s="9"/>
      <c r="C874" s="14"/>
      <c r="D874" s="14"/>
      <c r="E874" s="14"/>
      <c r="F874" s="14"/>
      <c r="G874" s="14"/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>
      <c r="A875" s="9"/>
      <c r="B875" s="9"/>
      <c r="C875" s="14"/>
      <c r="D875" s="14"/>
      <c r="E875" s="14"/>
      <c r="F875" s="14"/>
      <c r="G875" s="14"/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>
      <c r="A876" s="9"/>
      <c r="B876" s="9"/>
      <c r="C876" s="14"/>
      <c r="D876" s="14"/>
      <c r="E876" s="14"/>
      <c r="F876" s="14"/>
      <c r="G876" s="14"/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>
      <c r="A877" s="9"/>
      <c r="B877" s="9"/>
      <c r="C877" s="14"/>
      <c r="D877" s="14"/>
      <c r="E877" s="14"/>
      <c r="F877" s="14"/>
      <c r="G877" s="14"/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>
      <c r="A878" s="9"/>
      <c r="B878" s="9"/>
      <c r="C878" s="14"/>
      <c r="D878" s="14"/>
      <c r="E878" s="14"/>
      <c r="F878" s="14"/>
      <c r="G878" s="14"/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>
      <c r="A879" s="9"/>
      <c r="B879" s="9"/>
      <c r="C879" s="14"/>
      <c r="D879" s="14"/>
      <c r="E879" s="14"/>
      <c r="F879" s="14"/>
      <c r="G879" s="14"/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>
      <c r="A880" s="9"/>
      <c r="B880" s="9"/>
      <c r="C880" s="14"/>
      <c r="D880" s="14"/>
      <c r="E880" s="14"/>
      <c r="F880" s="14"/>
      <c r="G880" s="14"/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>
      <c r="A881" s="9"/>
      <c r="B881" s="9"/>
      <c r="C881" s="14"/>
      <c r="D881" s="14"/>
      <c r="E881" s="14"/>
      <c r="F881" s="14"/>
      <c r="G881" s="14"/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>
      <c r="A882" s="9"/>
      <c r="B882" s="9"/>
      <c r="C882" s="14"/>
      <c r="D882" s="14"/>
      <c r="E882" s="14"/>
      <c r="F882" s="14"/>
      <c r="G882" s="14"/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>
      <c r="A883" s="9"/>
      <c r="B883" s="9"/>
      <c r="C883" s="14"/>
      <c r="D883" s="14"/>
      <c r="E883" s="14"/>
      <c r="F883" s="14"/>
      <c r="G883" s="14"/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>
      <c r="A884" s="9"/>
      <c r="B884" s="9"/>
      <c r="C884" s="14"/>
      <c r="D884" s="14"/>
      <c r="E884" s="14"/>
      <c r="F884" s="14"/>
      <c r="G884" s="14"/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>
      <c r="A885" s="9"/>
      <c r="B885" s="9"/>
      <c r="C885" s="14"/>
      <c r="D885" s="14"/>
      <c r="E885" s="14"/>
      <c r="F885" s="14"/>
      <c r="G885" s="14"/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>
      <c r="A886" s="9"/>
      <c r="B886" s="9"/>
      <c r="C886" s="14"/>
      <c r="D886" s="14"/>
      <c r="E886" s="14"/>
      <c r="F886" s="14"/>
      <c r="G886" s="14"/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>
      <c r="A887" s="9"/>
      <c r="B887" s="9"/>
      <c r="C887" s="14"/>
      <c r="D887" s="14"/>
      <c r="E887" s="14"/>
      <c r="F887" s="14"/>
      <c r="G887" s="14"/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>
      <c r="A888" s="9"/>
      <c r="B888" s="9"/>
      <c r="C888" s="14"/>
      <c r="D888" s="14"/>
      <c r="E888" s="14"/>
      <c r="F888" s="14"/>
      <c r="G888" s="14"/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>
      <c r="A889" s="9"/>
      <c r="B889" s="9"/>
      <c r="C889" s="14"/>
      <c r="D889" s="14"/>
      <c r="E889" s="14"/>
      <c r="F889" s="14"/>
      <c r="G889" s="14"/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>
      <c r="A890" s="9"/>
      <c r="B890" s="9"/>
      <c r="C890" s="14"/>
      <c r="D890" s="14"/>
      <c r="E890" s="14"/>
      <c r="F890" s="14"/>
      <c r="G890" s="14"/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>
      <c r="A891" s="9"/>
      <c r="B891" s="9"/>
      <c r="C891" s="14"/>
      <c r="D891" s="14"/>
      <c r="E891" s="14"/>
      <c r="F891" s="14"/>
      <c r="G891" s="14"/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>
      <c r="A892" s="9"/>
      <c r="B892" s="9"/>
      <c r="C892" s="14"/>
      <c r="D892" s="14"/>
      <c r="E892" s="14"/>
      <c r="F892" s="14"/>
      <c r="G892" s="14"/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>
      <c r="A893" s="9"/>
      <c r="B893" s="9"/>
      <c r="C893" s="14"/>
      <c r="D893" s="14"/>
      <c r="E893" s="14"/>
      <c r="F893" s="14"/>
      <c r="G893" s="14"/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>
      <c r="A894" s="9"/>
      <c r="B894" s="9"/>
      <c r="C894" s="14"/>
      <c r="D894" s="14"/>
      <c r="E894" s="14"/>
      <c r="F894" s="14"/>
      <c r="G894" s="14"/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>
      <c r="A895" s="9"/>
      <c r="B895" s="9"/>
      <c r="C895" s="14"/>
      <c r="D895" s="14"/>
      <c r="E895" s="14"/>
      <c r="F895" s="14"/>
      <c r="G895" s="14"/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>
      <c r="A896" s="9"/>
      <c r="B896" s="9"/>
      <c r="C896" s="14"/>
      <c r="D896" s="14"/>
      <c r="E896" s="14"/>
      <c r="F896" s="14"/>
      <c r="G896" s="14"/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>
      <c r="A897" s="9"/>
      <c r="B897" s="9"/>
      <c r="C897" s="14"/>
      <c r="D897" s="14"/>
      <c r="E897" s="14"/>
      <c r="F897" s="14"/>
      <c r="G897" s="14"/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>
      <c r="A898" s="9"/>
      <c r="B898" s="9"/>
      <c r="C898" s="14"/>
      <c r="D898" s="14"/>
      <c r="E898" s="14"/>
      <c r="F898" s="14"/>
      <c r="G898" s="14"/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>
      <c r="A899" s="9"/>
      <c r="B899" s="9"/>
      <c r="C899" s="14"/>
      <c r="D899" s="14"/>
      <c r="E899" s="14"/>
      <c r="F899" s="14"/>
      <c r="G899" s="14"/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>
      <c r="A900" s="9"/>
      <c r="B900" s="9"/>
      <c r="C900" s="14"/>
      <c r="D900" s="14"/>
      <c r="E900" s="14"/>
      <c r="F900" s="14"/>
      <c r="G900" s="14"/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>
      <c r="A901" s="9"/>
      <c r="B901" s="9"/>
      <c r="C901" s="14"/>
      <c r="D901" s="14"/>
      <c r="E901" s="14"/>
      <c r="F901" s="14"/>
      <c r="G901" s="14"/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>
      <c r="A902" s="9"/>
      <c r="B902" s="9"/>
      <c r="C902" s="14"/>
      <c r="D902" s="14"/>
      <c r="E902" s="14"/>
      <c r="F902" s="14"/>
      <c r="G902" s="14"/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>
      <c r="A903" s="9"/>
      <c r="B903" s="9"/>
      <c r="C903" s="14"/>
      <c r="D903" s="14"/>
      <c r="E903" s="14"/>
      <c r="F903" s="14"/>
      <c r="G903" s="14"/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>
      <c r="A904" s="9"/>
      <c r="B904" s="9"/>
      <c r="C904" s="14"/>
      <c r="D904" s="14"/>
      <c r="E904" s="14"/>
      <c r="F904" s="14"/>
      <c r="G904" s="14"/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>
      <c r="A905" s="9"/>
      <c r="B905" s="9"/>
      <c r="C905" s="14"/>
      <c r="D905" s="14"/>
      <c r="E905" s="14"/>
      <c r="F905" s="14"/>
      <c r="G905" s="14"/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>
      <c r="A906" s="9"/>
      <c r="B906" s="9"/>
      <c r="C906" s="14"/>
      <c r="D906" s="14"/>
      <c r="E906" s="14"/>
      <c r="F906" s="14"/>
      <c r="G906" s="14"/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>
      <c r="A907" s="9"/>
      <c r="B907" s="9"/>
      <c r="C907" s="14"/>
      <c r="D907" s="14"/>
      <c r="E907" s="14"/>
      <c r="F907" s="14"/>
      <c r="G907" s="14"/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>
      <c r="A908" s="9"/>
      <c r="B908" s="9"/>
      <c r="C908" s="14"/>
      <c r="D908" s="14"/>
      <c r="E908" s="14"/>
      <c r="F908" s="14"/>
      <c r="G908" s="14"/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>
      <c r="A909" s="9"/>
      <c r="B909" s="9"/>
      <c r="C909" s="14"/>
      <c r="D909" s="14"/>
      <c r="E909" s="14"/>
      <c r="F909" s="14"/>
      <c r="G909" s="14"/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>
      <c r="A910" s="9"/>
      <c r="B910" s="9"/>
      <c r="C910" s="14"/>
      <c r="D910" s="14"/>
      <c r="E910" s="14"/>
      <c r="F910" s="14"/>
      <c r="G910" s="14"/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>
      <c r="A911" s="9"/>
      <c r="B911" s="9"/>
      <c r="C911" s="14"/>
      <c r="D911" s="14"/>
      <c r="E911" s="14"/>
      <c r="F911" s="14"/>
      <c r="G911" s="14"/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>
      <c r="A912" s="9"/>
      <c r="B912" s="9"/>
      <c r="C912" s="14"/>
      <c r="D912" s="14"/>
      <c r="E912" s="14"/>
      <c r="F912" s="14"/>
      <c r="G912" s="14"/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>
      <c r="A913" s="9"/>
      <c r="B913" s="9"/>
      <c r="C913" s="14"/>
      <c r="D913" s="14"/>
      <c r="E913" s="14"/>
      <c r="F913" s="14"/>
      <c r="G913" s="14"/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>
      <c r="A914" s="9"/>
      <c r="B914" s="9"/>
      <c r="C914" s="14"/>
      <c r="D914" s="14"/>
      <c r="E914" s="14"/>
      <c r="F914" s="14"/>
      <c r="G914" s="14"/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>
      <c r="A915" s="9"/>
      <c r="B915" s="9"/>
      <c r="C915" s="14"/>
      <c r="D915" s="14"/>
      <c r="E915" s="14"/>
      <c r="F915" s="14"/>
      <c r="G915" s="14"/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>
      <c r="A916" s="9"/>
      <c r="B916" s="9"/>
      <c r="C916" s="14"/>
      <c r="D916" s="14"/>
      <c r="E916" s="14"/>
      <c r="F916" s="14"/>
      <c r="G916" s="14"/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>
      <c r="A917" s="9"/>
      <c r="B917" s="9"/>
      <c r="C917" s="14"/>
      <c r="D917" s="14"/>
      <c r="E917" s="14"/>
      <c r="F917" s="14"/>
      <c r="G917" s="14"/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>
      <c r="A918" s="9"/>
      <c r="B918" s="9"/>
      <c r="C918" s="14"/>
      <c r="D918" s="14"/>
      <c r="E918" s="14"/>
      <c r="F918" s="14"/>
      <c r="G918" s="14"/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>
      <c r="A919" s="9"/>
      <c r="B919" s="9"/>
      <c r="C919" s="14"/>
      <c r="D919" s="14"/>
      <c r="E919" s="14"/>
      <c r="F919" s="14"/>
      <c r="G919" s="14"/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>
      <c r="A920" s="9"/>
      <c r="B920" s="9"/>
      <c r="C920" s="14"/>
      <c r="D920" s="14"/>
      <c r="E920" s="14"/>
      <c r="F920" s="14"/>
      <c r="G920" s="14"/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>
      <c r="A921" s="9"/>
      <c r="B921" s="9"/>
      <c r="C921" s="14"/>
      <c r="D921" s="14"/>
      <c r="E921" s="14"/>
      <c r="F921" s="14"/>
      <c r="G921" s="14"/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>
      <c r="A922" s="9"/>
      <c r="B922" s="9"/>
      <c r="C922" s="14"/>
      <c r="D922" s="14"/>
      <c r="E922" s="14"/>
      <c r="F922" s="14"/>
      <c r="G922" s="14"/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>
      <c r="A923" s="9"/>
      <c r="B923" s="9"/>
      <c r="C923" s="14"/>
      <c r="D923" s="14"/>
      <c r="E923" s="14"/>
      <c r="F923" s="14"/>
      <c r="G923" s="14"/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>
      <c r="A924" s="9"/>
      <c r="B924" s="9"/>
      <c r="C924" s="14"/>
      <c r="D924" s="14"/>
      <c r="E924" s="14"/>
      <c r="F924" s="14"/>
      <c r="G924" s="14"/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>
      <c r="A925" s="9"/>
      <c r="B925" s="9"/>
      <c r="C925" s="14"/>
      <c r="D925" s="14"/>
      <c r="E925" s="14"/>
      <c r="F925" s="14"/>
      <c r="G925" s="14"/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>
      <c r="A926" s="9"/>
      <c r="B926" s="9"/>
      <c r="C926" s="14"/>
      <c r="D926" s="14"/>
      <c r="E926" s="14"/>
      <c r="F926" s="14"/>
      <c r="G926" s="14"/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>
      <c r="A927" s="9"/>
      <c r="B927" s="9"/>
      <c r="C927" s="14"/>
      <c r="D927" s="14"/>
      <c r="E927" s="14"/>
      <c r="F927" s="14"/>
      <c r="G927" s="14"/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>
      <c r="A928" s="9"/>
      <c r="B928" s="9"/>
      <c r="C928" s="14"/>
      <c r="D928" s="14"/>
      <c r="E928" s="14"/>
      <c r="F928" s="14"/>
      <c r="G928" s="14"/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>
      <c r="A929" s="9"/>
      <c r="B929" s="9"/>
      <c r="C929" s="14"/>
      <c r="D929" s="14"/>
      <c r="E929" s="14"/>
      <c r="F929" s="14"/>
      <c r="G929" s="14"/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>
      <c r="A930" s="9"/>
      <c r="B930" s="9"/>
      <c r="C930" s="14"/>
      <c r="D930" s="14"/>
      <c r="E930" s="14"/>
      <c r="F930" s="14"/>
      <c r="G930" s="14"/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>
      <c r="A931" s="9"/>
      <c r="B931" s="9"/>
      <c r="C931" s="14"/>
      <c r="D931" s="14"/>
      <c r="E931" s="14"/>
      <c r="F931" s="14"/>
      <c r="G931" s="14"/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>
      <c r="A932" s="9"/>
      <c r="B932" s="9"/>
      <c r="C932" s="14"/>
      <c r="D932" s="14"/>
      <c r="E932" s="14"/>
      <c r="F932" s="14"/>
      <c r="G932" s="14"/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>
      <c r="A933" s="9"/>
      <c r="B933" s="9"/>
      <c r="C933" s="14"/>
      <c r="D933" s="14"/>
      <c r="E933" s="14"/>
      <c r="F933" s="14"/>
      <c r="G933" s="14"/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>
      <c r="A934" s="9"/>
      <c r="B934" s="9"/>
      <c r="C934" s="14"/>
      <c r="D934" s="14"/>
      <c r="E934" s="14"/>
      <c r="F934" s="14"/>
      <c r="G934" s="14"/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>
      <c r="A935" s="9"/>
      <c r="B935" s="9"/>
      <c r="C935" s="14"/>
      <c r="D935" s="14"/>
      <c r="E935" s="14"/>
      <c r="F935" s="14"/>
      <c r="G935" s="14"/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>
      <c r="A936" s="9"/>
      <c r="B936" s="9"/>
      <c r="C936" s="14"/>
      <c r="D936" s="14"/>
      <c r="E936" s="14"/>
      <c r="F936" s="14"/>
      <c r="G936" s="14"/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>
      <c r="A937" s="9"/>
      <c r="B937" s="9"/>
      <c r="C937" s="14"/>
      <c r="D937" s="14"/>
      <c r="E937" s="14"/>
      <c r="F937" s="14"/>
      <c r="G937" s="14"/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>
      <c r="A938" s="9"/>
      <c r="B938" s="9"/>
      <c r="C938" s="14"/>
      <c r="D938" s="14"/>
      <c r="E938" s="14"/>
      <c r="F938" s="14"/>
      <c r="G938" s="14"/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>
      <c r="A939" s="9"/>
      <c r="B939" s="9"/>
      <c r="C939" s="14"/>
      <c r="D939" s="14"/>
      <c r="E939" s="14"/>
      <c r="F939" s="14"/>
      <c r="G939" s="14"/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>
      <c r="A940" s="9"/>
      <c r="B940" s="9"/>
      <c r="C940" s="14"/>
      <c r="D940" s="14"/>
      <c r="E940" s="14"/>
      <c r="F940" s="14"/>
      <c r="G940" s="14"/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>
      <c r="A941" s="9"/>
      <c r="B941" s="9"/>
      <c r="C941" s="14"/>
      <c r="D941" s="14"/>
      <c r="E941" s="14"/>
      <c r="F941" s="14"/>
      <c r="G941" s="14"/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>
      <c r="A942" s="9"/>
      <c r="B942" s="9"/>
      <c r="C942" s="14"/>
      <c r="D942" s="14"/>
      <c r="E942" s="14"/>
      <c r="F942" s="14"/>
      <c r="G942" s="14"/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>
      <c r="A943" s="9"/>
      <c r="B943" s="9"/>
      <c r="C943" s="14"/>
      <c r="D943" s="14"/>
      <c r="E943" s="14"/>
      <c r="F943" s="14"/>
      <c r="G943" s="14"/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>
      <c r="A944" s="9"/>
      <c r="B944" s="9"/>
      <c r="C944" s="14"/>
      <c r="D944" s="14"/>
      <c r="E944" s="14"/>
      <c r="F944" s="14"/>
      <c r="G944" s="14"/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>
      <c r="A945" s="9"/>
      <c r="B945" s="9"/>
      <c r="C945" s="14"/>
      <c r="D945" s="14"/>
      <c r="E945" s="14"/>
      <c r="F945" s="14"/>
      <c r="G945" s="14"/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>
      <c r="A946" s="9"/>
      <c r="B946" s="9"/>
      <c r="C946" s="14"/>
      <c r="D946" s="14"/>
      <c r="E946" s="14"/>
      <c r="F946" s="14"/>
      <c r="G946" s="14"/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>
      <c r="A947" s="9"/>
      <c r="B947" s="9"/>
      <c r="C947" s="14"/>
      <c r="D947" s="14"/>
      <c r="E947" s="14"/>
      <c r="F947" s="14"/>
      <c r="G947" s="14"/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>
      <c r="A948" s="9"/>
      <c r="B948" s="9"/>
      <c r="C948" s="14"/>
      <c r="D948" s="14"/>
      <c r="E948" s="14"/>
      <c r="F948" s="14"/>
      <c r="G948" s="14"/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>
      <c r="A949" s="9"/>
      <c r="B949" s="9"/>
      <c r="C949" s="14"/>
      <c r="D949" s="14"/>
      <c r="E949" s="14"/>
      <c r="F949" s="14"/>
      <c r="G949" s="14"/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>
      <c r="A950" s="9"/>
      <c r="B950" s="9"/>
      <c r="C950" s="14"/>
      <c r="D950" s="14"/>
      <c r="E950" s="14"/>
      <c r="F950" s="14"/>
      <c r="G950" s="14"/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>
      <c r="A951" s="9"/>
      <c r="B951" s="9"/>
      <c r="C951" s="14"/>
      <c r="D951" s="14"/>
      <c r="E951" s="14"/>
      <c r="F951" s="14"/>
      <c r="G951" s="14"/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>
      <c r="A952" s="9"/>
      <c r="B952" s="9"/>
      <c r="C952" s="14"/>
      <c r="D952" s="14"/>
      <c r="E952" s="14"/>
      <c r="F952" s="14"/>
      <c r="G952" s="14"/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>
      <c r="A953" s="9"/>
      <c r="B953" s="9"/>
      <c r="C953" s="14"/>
      <c r="D953" s="14"/>
      <c r="E953" s="14"/>
      <c r="F953" s="14"/>
      <c r="G953" s="14"/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>
      <c r="A954" s="9"/>
      <c r="B954" s="9"/>
      <c r="C954" s="14"/>
      <c r="D954" s="14"/>
      <c r="E954" s="14"/>
      <c r="F954" s="14"/>
      <c r="G954" s="14"/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>
      <c r="A955" s="9"/>
      <c r="B955" s="9"/>
      <c r="C955" s="14"/>
      <c r="D955" s="14"/>
      <c r="E955" s="14"/>
      <c r="F955" s="14"/>
      <c r="G955" s="14"/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>
      <c r="A956" s="9"/>
      <c r="B956" s="9"/>
      <c r="C956" s="14"/>
      <c r="D956" s="14"/>
      <c r="E956" s="14"/>
      <c r="F956" s="14"/>
      <c r="G956" s="14"/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>
      <c r="A957" s="9"/>
      <c r="B957" s="9"/>
      <c r="C957" s="14"/>
      <c r="D957" s="14"/>
      <c r="E957" s="14"/>
      <c r="F957" s="14"/>
      <c r="G957" s="14"/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>
      <c r="A958" s="9"/>
      <c r="B958" s="9"/>
      <c r="C958" s="14"/>
      <c r="D958" s="14"/>
      <c r="E958" s="14"/>
      <c r="F958" s="14"/>
      <c r="G958" s="14"/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>
      <c r="A959" s="9"/>
      <c r="B959" s="9"/>
      <c r="C959" s="14"/>
      <c r="D959" s="14"/>
      <c r="E959" s="14"/>
      <c r="F959" s="14"/>
      <c r="G959" s="14"/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>
      <c r="A960" s="9"/>
      <c r="B960" s="9"/>
      <c r="C960" s="14"/>
      <c r="D960" s="14"/>
      <c r="E960" s="14"/>
      <c r="F960" s="14"/>
      <c r="G960" s="14"/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>
      <c r="A961" s="9"/>
      <c r="B961" s="9"/>
      <c r="C961" s="14"/>
      <c r="D961" s="14"/>
      <c r="E961" s="14"/>
      <c r="F961" s="14"/>
      <c r="G961" s="14"/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>
      <c r="A962" s="9"/>
      <c r="B962" s="9"/>
      <c r="C962" s="14"/>
      <c r="D962" s="14"/>
      <c r="E962" s="14"/>
      <c r="F962" s="14"/>
      <c r="G962" s="14"/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>
      <c r="A963" s="9"/>
      <c r="B963" s="9"/>
      <c r="C963" s="14"/>
      <c r="D963" s="14"/>
      <c r="E963" s="14"/>
      <c r="F963" s="14"/>
      <c r="G963" s="14"/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>
      <c r="A964" s="9"/>
      <c r="B964" s="9"/>
      <c r="C964" s="14"/>
      <c r="D964" s="14"/>
      <c r="E964" s="14"/>
      <c r="F964" s="14"/>
      <c r="G964" s="14"/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>
      <c r="A965" s="9"/>
      <c r="B965" s="9"/>
      <c r="C965" s="14"/>
      <c r="D965" s="14"/>
      <c r="E965" s="14"/>
      <c r="F965" s="14"/>
      <c r="G965" s="14"/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>
      <c r="A966" s="9"/>
      <c r="B966" s="9"/>
      <c r="C966" s="14"/>
      <c r="D966" s="14"/>
      <c r="E966" s="14"/>
      <c r="F966" s="14"/>
      <c r="G966" s="14"/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>
      <c r="A967" s="9"/>
      <c r="B967" s="9"/>
      <c r="C967" s="14"/>
      <c r="D967" s="14"/>
      <c r="E967" s="14"/>
      <c r="F967" s="14"/>
      <c r="G967" s="14"/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>
      <c r="A968" s="9"/>
      <c r="B968" s="9"/>
      <c r="C968" s="14"/>
      <c r="D968" s="14"/>
      <c r="E968" s="14"/>
      <c r="F968" s="14"/>
      <c r="G968" s="14"/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>
      <c r="A969" s="9"/>
      <c r="B969" s="9"/>
      <c r="C969" s="14"/>
      <c r="D969" s="14"/>
      <c r="E969" s="14"/>
      <c r="F969" s="14"/>
      <c r="G969" s="14"/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>
      <c r="A970" s="9"/>
      <c r="B970" s="9"/>
      <c r="C970" s="14"/>
      <c r="D970" s="14"/>
      <c r="E970" s="14"/>
      <c r="F970" s="14"/>
      <c r="G970" s="14"/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>
      <c r="A971" s="9"/>
      <c r="B971" s="9"/>
      <c r="C971" s="14"/>
      <c r="D971" s="14"/>
      <c r="E971" s="14"/>
      <c r="F971" s="14"/>
      <c r="G971" s="14"/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>
      <c r="A972" s="9"/>
      <c r="B972" s="9"/>
      <c r="C972" s="14"/>
      <c r="D972" s="14"/>
      <c r="E972" s="14"/>
      <c r="F972" s="14"/>
      <c r="G972" s="14"/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>
      <c r="A973" s="9"/>
      <c r="B973" s="9"/>
      <c r="C973" s="14"/>
      <c r="D973" s="14"/>
      <c r="E973" s="14"/>
      <c r="F973" s="14"/>
      <c r="G973" s="14"/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>
      <c r="A974" s="9"/>
      <c r="B974" s="9"/>
      <c r="C974" s="14"/>
      <c r="D974" s="14"/>
      <c r="E974" s="14"/>
      <c r="F974" s="14"/>
      <c r="G974" s="14"/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>
      <c r="A975" s="9"/>
      <c r="B975" s="9"/>
      <c r="C975" s="14"/>
      <c r="D975" s="14"/>
      <c r="E975" s="14"/>
      <c r="F975" s="14"/>
      <c r="G975" s="14"/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>
      <c r="A976" s="9"/>
      <c r="B976" s="9"/>
      <c r="C976" s="14"/>
      <c r="D976" s="14"/>
      <c r="E976" s="14"/>
      <c r="F976" s="14"/>
      <c r="G976" s="14"/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>
      <c r="A977" s="9"/>
      <c r="B977" s="9"/>
      <c r="C977" s="14"/>
      <c r="D977" s="14"/>
      <c r="E977" s="14"/>
      <c r="F977" s="14"/>
      <c r="G977" s="14"/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>
      <c r="A978" s="9"/>
      <c r="B978" s="9"/>
      <c r="C978" s="14"/>
      <c r="D978" s="14"/>
      <c r="E978" s="14"/>
      <c r="F978" s="14"/>
      <c r="G978" s="14"/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>
      <c r="A979" s="9"/>
      <c r="B979" s="9"/>
      <c r="C979" s="14"/>
      <c r="D979" s="14"/>
      <c r="E979" s="14"/>
      <c r="F979" s="14"/>
      <c r="G979" s="14"/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>
      <c r="A980" s="9"/>
      <c r="B980" s="9"/>
      <c r="C980" s="14"/>
      <c r="D980" s="14"/>
      <c r="E980" s="14"/>
      <c r="F980" s="14"/>
      <c r="G980" s="14"/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>
      <c r="A981" s="9"/>
      <c r="B981" s="9"/>
      <c r="C981" s="14"/>
      <c r="D981" s="14"/>
      <c r="E981" s="14"/>
      <c r="F981" s="14"/>
      <c r="G981" s="14"/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>
      <c r="A982" s="9"/>
      <c r="B982" s="9"/>
      <c r="C982" s="14"/>
      <c r="D982" s="14"/>
      <c r="E982" s="14"/>
      <c r="F982" s="14"/>
      <c r="G982" s="14"/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>
      <c r="A983" s="9"/>
      <c r="B983" s="9"/>
      <c r="C983" s="14"/>
      <c r="D983" s="14"/>
      <c r="E983" s="14"/>
      <c r="F983" s="14"/>
      <c r="G983" s="14"/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>
      <c r="A984" s="9"/>
      <c r="B984" s="9"/>
      <c r="C984" s="14"/>
      <c r="D984" s="14"/>
      <c r="E984" s="14"/>
      <c r="F984" s="14"/>
      <c r="G984" s="14"/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>
      <c r="A985" s="9"/>
      <c r="B985" s="9"/>
      <c r="C985" s="14"/>
      <c r="D985" s="14"/>
      <c r="E985" s="14"/>
      <c r="F985" s="14"/>
      <c r="G985" s="14"/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>
      <c r="A986" s="9"/>
      <c r="B986" s="9"/>
      <c r="C986" s="14"/>
      <c r="D986" s="14"/>
      <c r="E986" s="14"/>
      <c r="F986" s="14"/>
      <c r="G986" s="14"/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>
      <c r="A987" s="9"/>
      <c r="B987" s="9"/>
      <c r="C987" s="14"/>
      <c r="D987" s="14"/>
      <c r="E987" s="14"/>
      <c r="F987" s="14"/>
      <c r="G987" s="14"/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>
      <c r="A988" s="9"/>
      <c r="B988" s="9"/>
      <c r="C988" s="14"/>
      <c r="D988" s="14"/>
      <c r="E988" s="14"/>
      <c r="F988" s="14"/>
      <c r="G988" s="14"/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>
      <c r="A989" s="9"/>
      <c r="B989" s="9"/>
      <c r="C989" s="14"/>
      <c r="D989" s="14"/>
      <c r="E989" s="14"/>
      <c r="F989" s="14"/>
      <c r="G989" s="14"/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>
      <c r="A990" s="9"/>
      <c r="B990" s="9"/>
      <c r="C990" s="14"/>
      <c r="D990" s="14"/>
      <c r="E990" s="14"/>
      <c r="F990" s="14"/>
      <c r="G990" s="14"/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>
      <c r="A991" s="9"/>
      <c r="B991" s="9"/>
      <c r="C991" s="14"/>
      <c r="D991" s="14"/>
      <c r="E991" s="14"/>
      <c r="F991" s="14"/>
      <c r="G991" s="14"/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>
      <c r="A992" s="9"/>
      <c r="B992" s="9"/>
      <c r="C992" s="14"/>
      <c r="D992" s="14"/>
      <c r="E992" s="14"/>
      <c r="F992" s="14"/>
      <c r="G992" s="14"/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>
      <c r="A993" s="9"/>
      <c r="B993" s="9"/>
      <c r="C993" s="14"/>
      <c r="D993" s="14"/>
      <c r="E993" s="14"/>
      <c r="F993" s="14"/>
      <c r="G993" s="14"/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>
      <c r="A994" s="9"/>
      <c r="B994" s="9"/>
      <c r="C994" s="14"/>
      <c r="D994" s="14"/>
      <c r="E994" s="14"/>
      <c r="F994" s="14"/>
      <c r="G994" s="14"/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>
      <c r="A995" s="9"/>
      <c r="B995" s="9"/>
      <c r="C995" s="14"/>
      <c r="D995" s="14"/>
      <c r="E995" s="14"/>
      <c r="F995" s="14"/>
      <c r="G995" s="14"/>
      <c r="H995" s="1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>
      <c r="A996" s="9"/>
      <c r="B996" s="9"/>
      <c r="C996" s="14"/>
      <c r="D996" s="14"/>
      <c r="E996" s="14"/>
      <c r="F996" s="14"/>
      <c r="G996" s="14"/>
      <c r="H996" s="15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>
      <c r="A997" s="9"/>
      <c r="B997" s="9"/>
      <c r="C997" s="14"/>
      <c r="D997" s="14"/>
      <c r="E997" s="14"/>
      <c r="F997" s="14"/>
      <c r="G997" s="14"/>
      <c r="H997" s="15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>
      <c r="A998" s="9"/>
      <c r="B998" s="9"/>
      <c r="C998" s="14"/>
      <c r="D998" s="14"/>
      <c r="E998" s="14"/>
      <c r="F998" s="14"/>
      <c r="G998" s="14"/>
      <c r="H998" s="15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>
      <c r="A999" s="9"/>
      <c r="B999" s="9"/>
      <c r="C999" s="14"/>
      <c r="D999" s="14"/>
      <c r="E999" s="14"/>
      <c r="F999" s="14"/>
      <c r="G999" s="14"/>
      <c r="H999" s="15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>
      <c r="A1000" s="9"/>
      <c r="B1000" s="9"/>
      <c r="C1000" s="14"/>
      <c r="D1000" s="14"/>
      <c r="E1000" s="14"/>
      <c r="F1000" s="14"/>
      <c r="G1000" s="14"/>
      <c r="H1000" s="15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  <row r="1001">
      <c r="A1001" s="9"/>
      <c r="B1001" s="9"/>
      <c r="C1001" s="14"/>
      <c r="D1001" s="14"/>
      <c r="E1001" s="14"/>
      <c r="F1001" s="14"/>
      <c r="G1001" s="14"/>
      <c r="H1001" s="15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</row>
    <row r="1002">
      <c r="A1002" s="9"/>
      <c r="B1002" s="9"/>
      <c r="C1002" s="14"/>
      <c r="D1002" s="14"/>
      <c r="E1002" s="14"/>
      <c r="F1002" s="14"/>
      <c r="G1002" s="14"/>
      <c r="H1002" s="15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</row>
    <row r="1003">
      <c r="A1003" s="9"/>
      <c r="B1003" s="9"/>
      <c r="C1003" s="14"/>
      <c r="D1003" s="14"/>
      <c r="E1003" s="14"/>
      <c r="F1003" s="14"/>
      <c r="G1003" s="14"/>
      <c r="H1003" s="15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</row>
    <row r="1004">
      <c r="A1004" s="9"/>
      <c r="B1004" s="9"/>
      <c r="C1004" s="14"/>
      <c r="D1004" s="14"/>
      <c r="E1004" s="14"/>
      <c r="F1004" s="14"/>
      <c r="G1004" s="14"/>
      <c r="H1004" s="15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</row>
    <row r="1005">
      <c r="A1005" s="9"/>
      <c r="B1005" s="9"/>
      <c r="C1005" s="14"/>
      <c r="D1005" s="14"/>
      <c r="E1005" s="14"/>
      <c r="F1005" s="14"/>
      <c r="G1005" s="14"/>
      <c r="H1005" s="15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</row>
    <row r="1006">
      <c r="A1006" s="9"/>
      <c r="B1006" s="9"/>
      <c r="C1006" s="14"/>
      <c r="D1006" s="14"/>
      <c r="E1006" s="14"/>
      <c r="F1006" s="14"/>
      <c r="G1006" s="14"/>
      <c r="H1006" s="15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</row>
    <row r="1007">
      <c r="A1007" s="9"/>
      <c r="B1007" s="9"/>
      <c r="C1007" s="14"/>
      <c r="D1007" s="14"/>
      <c r="E1007" s="14"/>
      <c r="F1007" s="14"/>
      <c r="G1007" s="14"/>
      <c r="H1007" s="15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</row>
    <row r="1008">
      <c r="A1008" s="9"/>
      <c r="B1008" s="9"/>
      <c r="C1008" s="14"/>
      <c r="D1008" s="14"/>
      <c r="E1008" s="14"/>
      <c r="F1008" s="14"/>
      <c r="G1008" s="14"/>
      <c r="H1008" s="15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</row>
    <row r="1009">
      <c r="A1009" s="9"/>
      <c r="B1009" s="9"/>
      <c r="C1009" s="14"/>
      <c r="D1009" s="14"/>
      <c r="E1009" s="14"/>
      <c r="F1009" s="14"/>
      <c r="G1009" s="14"/>
      <c r="H1009" s="15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</row>
    <row r="1010">
      <c r="A1010" s="9"/>
      <c r="B1010" s="9"/>
      <c r="C1010" s="14"/>
      <c r="D1010" s="14"/>
      <c r="E1010" s="14"/>
      <c r="F1010" s="14"/>
      <c r="G1010" s="14"/>
      <c r="H1010" s="15"/>
      <c r="I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</row>
    <row r="1011">
      <c r="I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</row>
  </sheetData>
  <mergeCells count="2">
    <mergeCell ref="J63:K63"/>
    <mergeCell ref="A64:B64"/>
  </mergeCells>
  <conditionalFormatting sqref="H1:H1011 T1:U65">
    <cfRule type="cellIs" dxfId="0" priority="1" operator="lessThan">
      <formula>0</formula>
    </cfRule>
  </conditionalFormatting>
  <conditionalFormatting sqref="H1:H1011 T1:U65">
    <cfRule type="cellIs" dxfId="1" priority="2" operator="greaterThan">
      <formula>0</formula>
    </cfRule>
  </conditionalFormatting>
  <conditionalFormatting sqref="C2:G65 L2:S65">
    <cfRule type="cellIs" dxfId="2" priority="3" operator="greaterThan">
      <formula>0.05</formula>
    </cfRule>
  </conditionalFormatting>
  <conditionalFormatting sqref="C2:G65 L2:S65">
    <cfRule type="cellIs" dxfId="3" priority="4" operator="greaterThanOrEqual">
      <formula>0.04</formula>
    </cfRule>
  </conditionalFormatting>
  <conditionalFormatting sqref="C2:G65 L2:S65">
    <cfRule type="cellIs" dxfId="4" priority="5" operator="lessThan">
      <formula>0.04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52.75"/>
    <col customWidth="1" min="3" max="4" width="10.25"/>
    <col customWidth="1" min="5" max="5" width="9.88"/>
    <col customWidth="1" min="6" max="7" width="10.13"/>
    <col customWidth="1" min="8" max="8" width="14.13"/>
    <col customWidth="1" min="10" max="10" width="16.75"/>
    <col customWidth="1" min="11" max="11" width="52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1" t="s">
        <v>0</v>
      </c>
      <c r="K1" s="1" t="s">
        <v>1</v>
      </c>
      <c r="L1" s="4">
        <v>46160.0</v>
      </c>
      <c r="M1" s="4">
        <v>46161.0</v>
      </c>
      <c r="N1" s="4">
        <v>46162.0</v>
      </c>
      <c r="O1" s="4">
        <v>46163.0</v>
      </c>
      <c r="P1" s="4">
        <v>46164.0</v>
      </c>
      <c r="Q1" s="4">
        <v>46165.0</v>
      </c>
      <c r="R1" s="4">
        <v>46166.0</v>
      </c>
      <c r="S1" s="4">
        <v>46167.0</v>
      </c>
      <c r="T1" s="2" t="s">
        <v>8</v>
      </c>
      <c r="U1" s="2" t="s">
        <v>9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5" t="str">
        <f>IFERROR(__xludf.DUMMYFUNCTION("ARRAYFORMULA(
  IF(B2:B63="""","""",
    XLOOKUP(
      REGEXREPLACE(B2:B63,""^BC\b"",""Bưu Cục""),
      CoCauVung!B:B,
      CoCauVung!D:D
    )
  )
)
"),"Nguyễn Tuấn Anh")</f>
        <v>Nguyễn Tuấn Anh</v>
      </c>
      <c r="B2" s="6" t="s">
        <v>74</v>
      </c>
      <c r="C2" s="7">
        <v>0.2658227848</v>
      </c>
      <c r="D2" s="7">
        <v>0.2444444444</v>
      </c>
      <c r="E2" s="7">
        <v>0.1818181818</v>
      </c>
      <c r="F2" s="7">
        <v>0.3033707865</v>
      </c>
      <c r="G2" s="7">
        <v>0.05882352941</v>
      </c>
      <c r="H2" s="8">
        <f t="shared" ref="H2:H61" si="1">G2-F2</f>
        <v>-0.2445472571</v>
      </c>
      <c r="I2" s="9"/>
      <c r="J2" s="5" t="str">
        <f>IFERROR(__xludf.DUMMYFUNCTION("ARRAYFORMULA(
  IF(K2:K63="""","""",
    XLOOKUP(
      REGEXREPLACE(K2:K63,""^BC\b"",""Bưu Cục""),
      CoCauVung!B:B,
      CoCauVung!D:D
    )
  )
)
"),"Nguyễn Tuấn Anh")</f>
        <v>Nguyễn Tuấn Anh</v>
      </c>
      <c r="K2" s="5" t="s">
        <v>74</v>
      </c>
      <c r="L2" s="7">
        <v>0.2941176471</v>
      </c>
      <c r="M2" s="7">
        <v>0.1875</v>
      </c>
      <c r="N2" s="7">
        <v>0.5</v>
      </c>
      <c r="O2" s="7">
        <v>0.375</v>
      </c>
      <c r="P2" s="7">
        <v>0.3333333333</v>
      </c>
      <c r="Q2" s="7">
        <v>0.1111111111</v>
      </c>
      <c r="R2" s="7">
        <v>0.3571428571</v>
      </c>
      <c r="S2" s="7">
        <v>0.05882352941</v>
      </c>
      <c r="T2" s="8">
        <f t="shared" ref="T2:T7" si="2">S2-R2</f>
        <v>-0.2983193277</v>
      </c>
      <c r="U2" s="8">
        <f t="shared" ref="U2:U7" si="3">S2-L2</f>
        <v>-0.2352941177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5" t="str">
        <f>IFERROR(__xludf.DUMMYFUNCTION("""COMPUTED_VALUE"""),"Nguyễn Việt Tới")</f>
        <v>Nguyễn Việt Tới</v>
      </c>
      <c r="B3" s="6" t="s">
        <v>75</v>
      </c>
      <c r="C3" s="7">
        <v>0.2715231788</v>
      </c>
      <c r="D3" s="7">
        <v>0.3081081081</v>
      </c>
      <c r="E3" s="7">
        <v>0.2916666667</v>
      </c>
      <c r="F3" s="7">
        <v>0.2660098522</v>
      </c>
      <c r="G3" s="7">
        <v>0.25</v>
      </c>
      <c r="H3" s="8">
        <f t="shared" si="1"/>
        <v>-0.0160098522</v>
      </c>
      <c r="I3" s="9"/>
      <c r="J3" s="5" t="str">
        <f>IFERROR(__xludf.DUMMYFUNCTION("""COMPUTED_VALUE"""),"Nguyễn Việt Tới")</f>
        <v>Nguyễn Việt Tới</v>
      </c>
      <c r="K3" s="5" t="s">
        <v>75</v>
      </c>
      <c r="L3" s="7">
        <v>0.3846153846</v>
      </c>
      <c r="M3" s="7">
        <v>0.3333333333</v>
      </c>
      <c r="N3" s="7">
        <v>0.1612903226</v>
      </c>
      <c r="O3" s="7">
        <v>0.1481481481</v>
      </c>
      <c r="P3" s="7">
        <v>0.2962962963</v>
      </c>
      <c r="Q3" s="7">
        <v>0.3333333333</v>
      </c>
      <c r="R3" s="7">
        <v>0.2068965517</v>
      </c>
      <c r="S3" s="7">
        <v>0.25</v>
      </c>
      <c r="T3" s="8">
        <f t="shared" si="2"/>
        <v>0.0431034483</v>
      </c>
      <c r="U3" s="8">
        <f t="shared" si="3"/>
        <v>-0.1346153846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5" t="str">
        <f>IFERROR(__xludf.DUMMYFUNCTION("""COMPUTED_VALUE"""),"Lý Quài Nhân")</f>
        <v>Lý Quài Nhân</v>
      </c>
      <c r="B4" s="6" t="s">
        <v>76</v>
      </c>
      <c r="C4" s="7">
        <v>0.25</v>
      </c>
      <c r="D4" s="7">
        <v>0.2142857143</v>
      </c>
      <c r="E4" s="7">
        <v>0.2375</v>
      </c>
      <c r="F4" s="7">
        <v>0.2426035503</v>
      </c>
      <c r="G4" s="7">
        <v>0.3928571429</v>
      </c>
      <c r="H4" s="8">
        <f t="shared" si="1"/>
        <v>0.1502535926</v>
      </c>
      <c r="I4" s="9"/>
      <c r="J4" s="5" t="str">
        <f>IFERROR(__xludf.DUMMYFUNCTION("""COMPUTED_VALUE"""),"Lý Quài Nhân")</f>
        <v>Lý Quài Nhân</v>
      </c>
      <c r="K4" s="5" t="s">
        <v>76</v>
      </c>
      <c r="L4" s="7">
        <v>0.1428571429</v>
      </c>
      <c r="M4" s="7">
        <v>0.24</v>
      </c>
      <c r="N4" s="7">
        <v>0.2</v>
      </c>
      <c r="O4" s="7">
        <v>0.2777777778</v>
      </c>
      <c r="P4" s="7">
        <v>0.2564102564</v>
      </c>
      <c r="Q4" s="7">
        <v>0.3703703704</v>
      </c>
      <c r="R4" s="7">
        <v>0.1578947368</v>
      </c>
      <c r="S4" s="7">
        <v>0.3928571429</v>
      </c>
      <c r="T4" s="8">
        <f t="shared" si="2"/>
        <v>0.2349624061</v>
      </c>
      <c r="U4" s="8">
        <f t="shared" si="3"/>
        <v>0.25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5" t="str">
        <f>IFERROR(__xludf.DUMMYFUNCTION("""COMPUTED_VALUE"""),"Đoàn Công Tín")</f>
        <v>Đoàn Công Tín</v>
      </c>
      <c r="B5" s="6" t="s">
        <v>77</v>
      </c>
      <c r="C5" s="7">
        <v>0.2604166667</v>
      </c>
      <c r="D5" s="7">
        <v>0.226618705</v>
      </c>
      <c r="E5" s="7">
        <v>0.25390625</v>
      </c>
      <c r="F5" s="7">
        <v>0.2042682927</v>
      </c>
      <c r="G5" s="7">
        <v>0.21875</v>
      </c>
      <c r="H5" s="8">
        <f t="shared" si="1"/>
        <v>0.0144817073</v>
      </c>
      <c r="I5" s="9"/>
      <c r="J5" s="5" t="str">
        <f>IFERROR(__xludf.DUMMYFUNCTION("""COMPUTED_VALUE"""),"Đoàn Công Tín")</f>
        <v>Đoàn Công Tín</v>
      </c>
      <c r="K5" s="5" t="s">
        <v>77</v>
      </c>
      <c r="L5" s="7">
        <v>0.26</v>
      </c>
      <c r="M5" s="7">
        <v>0.2325581395</v>
      </c>
      <c r="N5" s="7">
        <v>0.1739130435</v>
      </c>
      <c r="O5" s="7">
        <v>0.2558139535</v>
      </c>
      <c r="P5" s="7">
        <v>0.1428571429</v>
      </c>
      <c r="Q5" s="7">
        <v>0.2549019608</v>
      </c>
      <c r="R5" s="7">
        <v>0.1025641026</v>
      </c>
      <c r="S5" s="7">
        <v>0.21875</v>
      </c>
      <c r="T5" s="8">
        <f t="shared" si="2"/>
        <v>0.1161858974</v>
      </c>
      <c r="U5" s="8">
        <f t="shared" si="3"/>
        <v>-0.04125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5" t="str">
        <f>IFERROR(__xludf.DUMMYFUNCTION("""COMPUTED_VALUE"""),"Đoàn Công Tín")</f>
        <v>Đoàn Công Tín</v>
      </c>
      <c r="B6" s="6" t="s">
        <v>78</v>
      </c>
      <c r="C6" s="7">
        <v>0.2769230769</v>
      </c>
      <c r="D6" s="7">
        <v>0.1913580247</v>
      </c>
      <c r="E6" s="7">
        <v>0.18125</v>
      </c>
      <c r="F6" s="7">
        <v>0.1686746988</v>
      </c>
      <c r="G6" s="7">
        <v>0.2380952381</v>
      </c>
      <c r="H6" s="8">
        <f t="shared" si="1"/>
        <v>0.0694205393</v>
      </c>
      <c r="I6" s="9"/>
      <c r="J6" s="5" t="str">
        <f>IFERROR(__xludf.DUMMYFUNCTION("""COMPUTED_VALUE"""),"Đoàn Công Tín")</f>
        <v>Đoàn Công Tín</v>
      </c>
      <c r="K6" s="5" t="s">
        <v>78</v>
      </c>
      <c r="L6" s="7">
        <v>0.08695652174</v>
      </c>
      <c r="M6" s="7">
        <v>0.2142857143</v>
      </c>
      <c r="N6" s="7">
        <v>0.07692307692</v>
      </c>
      <c r="O6" s="7">
        <v>0.2631578947</v>
      </c>
      <c r="P6" s="7">
        <v>0.25</v>
      </c>
      <c r="Q6" s="7">
        <v>0.1904761905</v>
      </c>
      <c r="R6" s="7">
        <v>0.05882352941</v>
      </c>
      <c r="S6" s="7">
        <v>0.2380952381</v>
      </c>
      <c r="T6" s="8">
        <f t="shared" si="2"/>
        <v>0.1792717087</v>
      </c>
      <c r="U6" s="8">
        <f t="shared" si="3"/>
        <v>0.1511387164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5" t="str">
        <f>IFERROR(__xludf.DUMMYFUNCTION("""COMPUTED_VALUE"""),"Ngô Phan Mỹ Tú")</f>
        <v>Ngô Phan Mỹ Tú</v>
      </c>
      <c r="B7" s="6" t="s">
        <v>79</v>
      </c>
      <c r="C7" s="7">
        <v>0.4174757282</v>
      </c>
      <c r="D7" s="7">
        <v>0.4210526316</v>
      </c>
      <c r="E7" s="7">
        <v>0.4166666667</v>
      </c>
      <c r="F7" s="7">
        <v>0.408</v>
      </c>
      <c r="G7" s="7">
        <v>0.6296296296</v>
      </c>
      <c r="H7" s="8">
        <f t="shared" si="1"/>
        <v>0.2216296296</v>
      </c>
      <c r="I7" s="9"/>
      <c r="J7" s="5" t="str">
        <f>IFERROR(__xludf.DUMMYFUNCTION("""COMPUTED_VALUE"""),"Ngô Phan Mỹ Tú")</f>
        <v>Ngô Phan Mỹ Tú</v>
      </c>
      <c r="K7" s="5" t="s">
        <v>79</v>
      </c>
      <c r="L7" s="7">
        <v>0.3</v>
      </c>
      <c r="M7" s="7">
        <v>0.5</v>
      </c>
      <c r="N7" s="7">
        <v>0.3913043478</v>
      </c>
      <c r="O7" s="7">
        <v>0.4666666667</v>
      </c>
      <c r="P7" s="7">
        <v>0.45</v>
      </c>
      <c r="Q7" s="7">
        <v>0.4444444444</v>
      </c>
      <c r="R7" s="7">
        <v>0.3529411765</v>
      </c>
      <c r="S7" s="7">
        <v>0.6296296296</v>
      </c>
      <c r="T7" s="8">
        <f t="shared" si="2"/>
        <v>0.2766884531</v>
      </c>
      <c r="U7" s="8">
        <f t="shared" si="3"/>
        <v>0.3296296296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5" t="str">
        <f>IFERROR(__xludf.DUMMYFUNCTION("""COMPUTED_VALUE"""),"Lâm Xuân Vinh")</f>
        <v>Lâm Xuân Vinh</v>
      </c>
      <c r="B8" s="6" t="s">
        <v>80</v>
      </c>
      <c r="C8" s="7">
        <v>0.2903225806</v>
      </c>
      <c r="D8" s="7">
        <v>0.1830985915</v>
      </c>
      <c r="E8" s="7">
        <v>0.1459459459</v>
      </c>
      <c r="F8" s="7">
        <v>0.2030456853</v>
      </c>
      <c r="G8" s="7">
        <v>0.2</v>
      </c>
      <c r="H8" s="8">
        <f t="shared" si="1"/>
        <v>-0.0030456853</v>
      </c>
      <c r="I8" s="9"/>
      <c r="J8" s="5" t="str">
        <f>IFERROR(__xludf.DUMMYFUNCTION("""COMPUTED_VALUE"""),"Lâm Xuân Vinh")</f>
        <v>Lâm Xuân Vinh</v>
      </c>
      <c r="K8" s="5" t="s">
        <v>80</v>
      </c>
      <c r="L8" s="7">
        <v>0.2051282051</v>
      </c>
      <c r="M8" s="7">
        <v>0.2894736842</v>
      </c>
      <c r="N8" s="7">
        <v>0.07407407407</v>
      </c>
      <c r="O8" s="7">
        <v>0.12</v>
      </c>
      <c r="P8" s="7">
        <v>0.125</v>
      </c>
      <c r="Q8" s="7">
        <v>0.380952381</v>
      </c>
      <c r="R8" s="7">
        <v>0.2666666667</v>
      </c>
      <c r="S8" s="7">
        <v>0.2</v>
      </c>
      <c r="T8" s="8"/>
      <c r="U8" s="8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>
      <c r="A9" s="5" t="str">
        <f>IFERROR(__xludf.DUMMYFUNCTION("""COMPUTED_VALUE"""),"Nguyễn Tuấn Anh")</f>
        <v>Nguyễn Tuấn Anh</v>
      </c>
      <c r="B9" s="6" t="s">
        <v>81</v>
      </c>
      <c r="C9" s="7">
        <v>0.3157894737</v>
      </c>
      <c r="D9" s="7">
        <v>0.2234042553</v>
      </c>
      <c r="E9" s="7">
        <v>0.2403100775</v>
      </c>
      <c r="F9" s="7">
        <v>0.224137931</v>
      </c>
      <c r="G9" s="7">
        <v>0.2</v>
      </c>
      <c r="H9" s="8">
        <f t="shared" si="1"/>
        <v>-0.024137931</v>
      </c>
      <c r="I9" s="9"/>
      <c r="J9" s="5" t="str">
        <f>IFERROR(__xludf.DUMMYFUNCTION("""COMPUTED_VALUE"""),"Nguyễn Tuấn Anh")</f>
        <v>Nguyễn Tuấn Anh</v>
      </c>
      <c r="K9" s="5" t="s">
        <v>81</v>
      </c>
      <c r="L9" s="7">
        <v>0.2380952381</v>
      </c>
      <c r="M9" s="7">
        <v>0.05882352941</v>
      </c>
      <c r="N9" s="7">
        <v>0.2142857143</v>
      </c>
      <c r="O9" s="7">
        <v>0.2105263158</v>
      </c>
      <c r="P9" s="7">
        <v>0.2307692308</v>
      </c>
      <c r="Q9" s="7">
        <v>0.3157894737</v>
      </c>
      <c r="R9" s="7">
        <v>0.3076923077</v>
      </c>
      <c r="S9" s="7">
        <v>0.2</v>
      </c>
      <c r="T9" s="8">
        <f t="shared" ref="T9:T61" si="4">S9-R9</f>
        <v>-0.1076923077</v>
      </c>
      <c r="U9" s="8">
        <f t="shared" ref="U9:U61" si="5">S9-L9</f>
        <v>-0.0380952381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5" t="str">
        <f>IFERROR(__xludf.DUMMYFUNCTION("""COMPUTED_VALUE"""),"Nguyễn Tuấn Anh")</f>
        <v>Nguyễn Tuấn Anh</v>
      </c>
      <c r="B10" s="6" t="s">
        <v>82</v>
      </c>
      <c r="C10" s="7">
        <v>0.3564356436</v>
      </c>
      <c r="D10" s="7">
        <v>0.2838709677</v>
      </c>
      <c r="E10" s="7">
        <v>0.3410852713</v>
      </c>
      <c r="F10" s="7">
        <v>0.3401360544</v>
      </c>
      <c r="G10" s="7">
        <v>0.2173913043</v>
      </c>
      <c r="H10" s="8">
        <f t="shared" si="1"/>
        <v>-0.1227447501</v>
      </c>
      <c r="I10" s="9"/>
      <c r="J10" s="5" t="str">
        <f>IFERROR(__xludf.DUMMYFUNCTION("""COMPUTED_VALUE"""),"Nguyễn Tuấn Anh")</f>
        <v>Nguyễn Tuấn Anh</v>
      </c>
      <c r="K10" s="5" t="s">
        <v>82</v>
      </c>
      <c r="L10" s="7">
        <v>0.1666666667</v>
      </c>
      <c r="M10" s="7">
        <v>0.25</v>
      </c>
      <c r="N10" s="7">
        <v>0.3529411765</v>
      </c>
      <c r="O10" s="7">
        <v>0.4444444444</v>
      </c>
      <c r="P10" s="7">
        <v>0.3333333333</v>
      </c>
      <c r="Q10" s="7">
        <v>0.3529411765</v>
      </c>
      <c r="R10" s="7">
        <v>0.5</v>
      </c>
      <c r="S10" s="7">
        <v>0.2173913043</v>
      </c>
      <c r="T10" s="8">
        <f t="shared" si="4"/>
        <v>-0.2826086957</v>
      </c>
      <c r="U10" s="8">
        <f t="shared" si="5"/>
        <v>0.0507246376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>
      <c r="A11" s="5" t="str">
        <f>IFERROR(__xludf.DUMMYFUNCTION("""COMPUTED_VALUE"""),"Nguyễn Tuấn Anh")</f>
        <v>Nguyễn Tuấn Anh</v>
      </c>
      <c r="B11" s="6" t="s">
        <v>83</v>
      </c>
      <c r="C11" s="7">
        <v>0.1481481481</v>
      </c>
      <c r="D11" s="7">
        <v>0.1501976285</v>
      </c>
      <c r="E11" s="7">
        <v>0.2900763359</v>
      </c>
      <c r="F11" s="7">
        <v>0.0607028754</v>
      </c>
      <c r="G11" s="7">
        <v>0.05263157895</v>
      </c>
      <c r="H11" s="8">
        <f t="shared" si="1"/>
        <v>-0.00807129645</v>
      </c>
      <c r="I11" s="9"/>
      <c r="J11" s="5" t="str">
        <f>IFERROR(__xludf.DUMMYFUNCTION("""COMPUTED_VALUE"""),"Nguyễn Tuấn Anh")</f>
        <v>Nguyễn Tuấn Anh</v>
      </c>
      <c r="K11" s="5" t="s">
        <v>83</v>
      </c>
      <c r="L11" s="7">
        <v>0.1578947368</v>
      </c>
      <c r="M11" s="7">
        <v>0.1290322581</v>
      </c>
      <c r="N11" s="7">
        <v>0.0625</v>
      </c>
      <c r="O11" s="7">
        <v>0.0</v>
      </c>
      <c r="P11" s="7">
        <v>0.07317073171</v>
      </c>
      <c r="Q11" s="7">
        <v>0.075</v>
      </c>
      <c r="R11" s="7">
        <v>0.01515151515</v>
      </c>
      <c r="S11" s="7">
        <v>0.05263157895</v>
      </c>
      <c r="T11" s="8">
        <f t="shared" si="4"/>
        <v>0.0374800638</v>
      </c>
      <c r="U11" s="8">
        <f t="shared" si="5"/>
        <v>-0.1052631579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5" t="str">
        <f>IFERROR(__xludf.DUMMYFUNCTION("""COMPUTED_VALUE"""),"Nguyễn Anh Tùng")</f>
        <v>Nguyễn Anh Tùng</v>
      </c>
      <c r="B12" s="6" t="s">
        <v>84</v>
      </c>
      <c r="C12" s="7">
        <v>0.3263157895</v>
      </c>
      <c r="D12" s="7">
        <v>0.3723404255</v>
      </c>
      <c r="E12" s="7">
        <v>0.3425925926</v>
      </c>
      <c r="F12" s="7">
        <v>0.2972972973</v>
      </c>
      <c r="G12" s="7">
        <v>0.5416666667</v>
      </c>
      <c r="H12" s="8">
        <f t="shared" si="1"/>
        <v>0.2443693694</v>
      </c>
      <c r="I12" s="9"/>
      <c r="J12" s="5" t="str">
        <f>IFERROR(__xludf.DUMMYFUNCTION("""COMPUTED_VALUE"""),"Nguyễn Anh Tùng")</f>
        <v>Nguyễn Anh Tùng</v>
      </c>
      <c r="K12" s="5" t="s">
        <v>84</v>
      </c>
      <c r="L12" s="7">
        <v>0.3125</v>
      </c>
      <c r="M12" s="7">
        <v>0.3846153846</v>
      </c>
      <c r="N12" s="7">
        <v>0.3333333333</v>
      </c>
      <c r="O12" s="7">
        <v>0.2307692308</v>
      </c>
      <c r="P12" s="7">
        <v>0.2857142857</v>
      </c>
      <c r="Q12" s="7">
        <v>0.2727272727</v>
      </c>
      <c r="R12" s="7">
        <v>0.1666666667</v>
      </c>
      <c r="S12" s="7">
        <v>0.5416666667</v>
      </c>
      <c r="T12" s="8">
        <f t="shared" si="4"/>
        <v>0.375</v>
      </c>
      <c r="U12" s="8">
        <f t="shared" si="5"/>
        <v>0.2291666667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5" t="str">
        <f>IFERROR(__xludf.DUMMYFUNCTION("""COMPUTED_VALUE"""),"Huỳnh Quốc Trung")</f>
        <v>Huỳnh Quốc Trung</v>
      </c>
      <c r="B13" s="6" t="s">
        <v>85</v>
      </c>
      <c r="C13" s="7">
        <v>0.2290224651</v>
      </c>
      <c r="D13" s="7">
        <v>0.1878787879</v>
      </c>
      <c r="E13" s="7">
        <v>0.171641791</v>
      </c>
      <c r="F13" s="7">
        <v>0.1492537313</v>
      </c>
      <c r="G13" s="7">
        <v>0.1666666667</v>
      </c>
      <c r="H13" s="8">
        <f t="shared" si="1"/>
        <v>0.0174129354</v>
      </c>
      <c r="I13" s="9"/>
      <c r="J13" s="5" t="str">
        <f>IFERROR(__xludf.DUMMYFUNCTION("""COMPUTED_VALUE"""),"Huỳnh Quốc Trung")</f>
        <v>Huỳnh Quốc Trung</v>
      </c>
      <c r="K13" s="5" t="s">
        <v>85</v>
      </c>
      <c r="L13" s="7">
        <v>0.1538461538</v>
      </c>
      <c r="M13" s="7">
        <v>0.1153846154</v>
      </c>
      <c r="N13" s="7">
        <v>0.2105263158</v>
      </c>
      <c r="O13" s="7">
        <v>0.1111111111</v>
      </c>
      <c r="P13" s="7">
        <v>0.2857142857</v>
      </c>
      <c r="Q13" s="7">
        <v>0.07692307692</v>
      </c>
      <c r="R13" s="7">
        <v>0.1111111111</v>
      </c>
      <c r="S13" s="7">
        <v>0.1666666667</v>
      </c>
      <c r="T13" s="8">
        <f t="shared" si="4"/>
        <v>0.0555555556</v>
      </c>
      <c r="U13" s="8">
        <f t="shared" si="5"/>
        <v>0.0128205129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>
      <c r="A14" s="5" t="str">
        <f>IFERROR(__xludf.DUMMYFUNCTION("""COMPUTED_VALUE"""),"Nguyễn Tuấn Anh")</f>
        <v>Nguyễn Tuấn Anh</v>
      </c>
      <c r="B14" s="6" t="s">
        <v>86</v>
      </c>
      <c r="C14" s="7">
        <v>0.3294117647</v>
      </c>
      <c r="D14" s="7">
        <v>0.3114754098</v>
      </c>
      <c r="E14" s="7">
        <v>0.2396694215</v>
      </c>
      <c r="F14" s="7">
        <v>0.298245614</v>
      </c>
      <c r="G14" s="7">
        <v>0.4375</v>
      </c>
      <c r="H14" s="8">
        <f t="shared" si="1"/>
        <v>0.139254386</v>
      </c>
      <c r="I14" s="9"/>
      <c r="J14" s="5" t="str">
        <f>IFERROR(__xludf.DUMMYFUNCTION("""COMPUTED_VALUE"""),"Nguyễn Tuấn Anh")</f>
        <v>Nguyễn Tuấn Anh</v>
      </c>
      <c r="K14" s="5" t="s">
        <v>86</v>
      </c>
      <c r="L14" s="7">
        <v>0.3333333333</v>
      </c>
      <c r="M14" s="7">
        <v>0.3333333333</v>
      </c>
      <c r="N14" s="7">
        <v>0.1818181818</v>
      </c>
      <c r="O14" s="7">
        <v>0.1</v>
      </c>
      <c r="P14" s="7">
        <v>0.3333333333</v>
      </c>
      <c r="Q14" s="7">
        <v>0.375</v>
      </c>
      <c r="R14" s="7">
        <v>0.3</v>
      </c>
      <c r="S14" s="7">
        <v>0.4375</v>
      </c>
      <c r="T14" s="8">
        <f t="shared" si="4"/>
        <v>0.1375</v>
      </c>
      <c r="U14" s="8">
        <f t="shared" si="5"/>
        <v>0.1041666667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>
      <c r="A15" s="5" t="str">
        <f>IFERROR(__xludf.DUMMYFUNCTION("""COMPUTED_VALUE"""),"Nguyễn Anh Tùng")</f>
        <v>Nguyễn Anh Tùng</v>
      </c>
      <c r="B15" s="6" t="s">
        <v>87</v>
      </c>
      <c r="C15" s="7">
        <v>0.2018348624</v>
      </c>
      <c r="D15" s="7">
        <v>0.1012658228</v>
      </c>
      <c r="E15" s="7">
        <v>0.1237113402</v>
      </c>
      <c r="F15" s="7">
        <v>0.1590909091</v>
      </c>
      <c r="G15" s="7">
        <v>0.1086956522</v>
      </c>
      <c r="H15" s="8">
        <f t="shared" si="1"/>
        <v>-0.0503952569</v>
      </c>
      <c r="I15" s="9"/>
      <c r="J15" s="5" t="str">
        <f>IFERROR(__xludf.DUMMYFUNCTION("""COMPUTED_VALUE"""),"Nguyễn Anh Tùng")</f>
        <v>Nguyễn Anh Tùng</v>
      </c>
      <c r="K15" s="5" t="s">
        <v>87</v>
      </c>
      <c r="L15" s="7">
        <v>0.2</v>
      </c>
      <c r="M15" s="7">
        <v>0.1481481481</v>
      </c>
      <c r="N15" s="7">
        <v>0.2592592593</v>
      </c>
      <c r="O15" s="7">
        <v>0.1666666667</v>
      </c>
      <c r="P15" s="7">
        <v>0.1363636364</v>
      </c>
      <c r="Q15" s="7">
        <v>0.1428571429</v>
      </c>
      <c r="R15" s="7">
        <v>0.07142857143</v>
      </c>
      <c r="S15" s="7">
        <v>0.1086956522</v>
      </c>
      <c r="T15" s="8">
        <f t="shared" si="4"/>
        <v>0.03726708077</v>
      </c>
      <c r="U15" s="8">
        <f t="shared" si="5"/>
        <v>-0.0913043478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5" t="str">
        <f>IFERROR(__xludf.DUMMYFUNCTION("""COMPUTED_VALUE"""),"Đoàn Công Tín")</f>
        <v>Đoàn Công Tín</v>
      </c>
      <c r="B16" s="6" t="s">
        <v>88</v>
      </c>
      <c r="C16" s="7">
        <v>0.3018867925</v>
      </c>
      <c r="D16" s="7">
        <v>0.2482758621</v>
      </c>
      <c r="E16" s="7">
        <v>0.2727272727</v>
      </c>
      <c r="F16" s="7">
        <v>0.2847682119</v>
      </c>
      <c r="G16" s="7">
        <v>0.5</v>
      </c>
      <c r="H16" s="8">
        <f t="shared" si="1"/>
        <v>0.2152317881</v>
      </c>
      <c r="I16" s="9"/>
      <c r="J16" s="5" t="str">
        <f>IFERROR(__xludf.DUMMYFUNCTION("""COMPUTED_VALUE"""),"Đoàn Công Tín")</f>
        <v>Đoàn Công Tín</v>
      </c>
      <c r="K16" s="5" t="s">
        <v>88</v>
      </c>
      <c r="L16" s="7">
        <v>0.4210526316</v>
      </c>
      <c r="M16" s="7">
        <v>0.3333333333</v>
      </c>
      <c r="N16" s="7">
        <v>0.1481481481</v>
      </c>
      <c r="O16" s="7">
        <v>0.2727272727</v>
      </c>
      <c r="P16" s="7">
        <v>0.3181818182</v>
      </c>
      <c r="Q16" s="7">
        <v>0.35</v>
      </c>
      <c r="R16" s="7">
        <v>0.2307692308</v>
      </c>
      <c r="S16" s="7">
        <v>0.5</v>
      </c>
      <c r="T16" s="8">
        <f t="shared" si="4"/>
        <v>0.2692307692</v>
      </c>
      <c r="U16" s="8">
        <f t="shared" si="5"/>
        <v>0.0789473684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5" t="str">
        <f>IFERROR(__xludf.DUMMYFUNCTION("""COMPUTED_VALUE"""),"#N/A")</f>
        <v>#N/A</v>
      </c>
      <c r="B17" s="6" t="s">
        <v>89</v>
      </c>
      <c r="C17" s="7">
        <v>0.3265306122</v>
      </c>
      <c r="D17" s="7">
        <v>0.219047619</v>
      </c>
      <c r="E17" s="7">
        <v>0.3414634146</v>
      </c>
      <c r="F17" s="7"/>
      <c r="G17" s="7"/>
      <c r="H17" s="8">
        <f t="shared" si="1"/>
        <v>0</v>
      </c>
      <c r="I17" s="9"/>
      <c r="J17" s="5" t="str">
        <f>IFERROR(__xludf.DUMMYFUNCTION("""COMPUTED_VALUE"""),"#N/A")</f>
        <v>#N/A</v>
      </c>
      <c r="K17" s="5" t="s">
        <v>89</v>
      </c>
      <c r="L17" s="7"/>
      <c r="M17" s="7"/>
      <c r="N17" s="7"/>
      <c r="O17" s="7"/>
      <c r="P17" s="7"/>
      <c r="Q17" s="7"/>
      <c r="R17" s="7"/>
      <c r="S17" s="7"/>
      <c r="T17" s="8">
        <f t="shared" si="4"/>
        <v>0</v>
      </c>
      <c r="U17" s="8">
        <f t="shared" si="5"/>
        <v>0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5" t="str">
        <f>IFERROR(__xludf.DUMMYFUNCTION("""COMPUTED_VALUE"""),"Nguyễn Anh Tùng")</f>
        <v>Nguyễn Anh Tùng</v>
      </c>
      <c r="B18" s="6" t="s">
        <v>90</v>
      </c>
      <c r="C18" s="7">
        <v>0.1210526316</v>
      </c>
      <c r="D18" s="7">
        <v>0.08490566038</v>
      </c>
      <c r="E18" s="7">
        <v>0.09944751381</v>
      </c>
      <c r="F18" s="7">
        <v>0.1151832461</v>
      </c>
      <c r="G18" s="7">
        <v>0.08823529412</v>
      </c>
      <c r="H18" s="8">
        <f t="shared" si="1"/>
        <v>-0.02694795198</v>
      </c>
      <c r="I18" s="9"/>
      <c r="J18" s="5" t="str">
        <f>IFERROR(__xludf.DUMMYFUNCTION("""COMPUTED_VALUE"""),"Nguyễn Anh Tùng")</f>
        <v>Nguyễn Anh Tùng</v>
      </c>
      <c r="K18" s="5" t="s">
        <v>90</v>
      </c>
      <c r="L18" s="7">
        <v>0.2121212121</v>
      </c>
      <c r="M18" s="7">
        <v>0.1666666667</v>
      </c>
      <c r="N18" s="7">
        <v>0.1153846154</v>
      </c>
      <c r="O18" s="7">
        <v>0.1071428571</v>
      </c>
      <c r="P18" s="7">
        <v>0.05263157895</v>
      </c>
      <c r="Q18" s="7">
        <v>0.1</v>
      </c>
      <c r="R18" s="7">
        <v>0.03225806452</v>
      </c>
      <c r="S18" s="7">
        <v>0.08823529412</v>
      </c>
      <c r="T18" s="8">
        <f t="shared" si="4"/>
        <v>0.0559772296</v>
      </c>
      <c r="U18" s="8">
        <f t="shared" si="5"/>
        <v>-0.123885918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5" t="str">
        <f>IFERROR(__xludf.DUMMYFUNCTION("""COMPUTED_VALUE"""),"Lâm Xuân Vinh")</f>
        <v>Lâm Xuân Vinh</v>
      </c>
      <c r="B19" s="6" t="s">
        <v>91</v>
      </c>
      <c r="C19" s="7">
        <v>0.2857142857</v>
      </c>
      <c r="D19" s="7">
        <v>0.2844036697</v>
      </c>
      <c r="E19" s="7">
        <v>0.275862069</v>
      </c>
      <c r="F19" s="7">
        <v>0.1914893617</v>
      </c>
      <c r="G19" s="7">
        <v>0.2105263158</v>
      </c>
      <c r="H19" s="8">
        <f t="shared" si="1"/>
        <v>0.0190369541</v>
      </c>
      <c r="I19" s="9"/>
      <c r="J19" s="5" t="str">
        <f>IFERROR(__xludf.DUMMYFUNCTION("""COMPUTED_VALUE"""),"Lâm Xuân Vinh")</f>
        <v>Lâm Xuân Vinh</v>
      </c>
      <c r="K19" s="5" t="s">
        <v>91</v>
      </c>
      <c r="L19" s="7">
        <v>0.2222222222</v>
      </c>
      <c r="M19" s="7">
        <v>0.1578947368</v>
      </c>
      <c r="N19" s="7">
        <v>0.2</v>
      </c>
      <c r="O19" s="7">
        <v>0.25</v>
      </c>
      <c r="P19" s="7">
        <v>0.25</v>
      </c>
      <c r="Q19" s="7">
        <v>0.25</v>
      </c>
      <c r="R19" s="7">
        <v>0.0</v>
      </c>
      <c r="S19" s="7">
        <v>0.2105263158</v>
      </c>
      <c r="T19" s="8">
        <f t="shared" si="4"/>
        <v>0.2105263158</v>
      </c>
      <c r="U19" s="8">
        <f t="shared" si="5"/>
        <v>-0.0116959064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>
      <c r="A20" s="5" t="str">
        <f>IFERROR(__xludf.DUMMYFUNCTION("""COMPUTED_VALUE"""),"Nguyễn Thành Huy")</f>
        <v>Nguyễn Thành Huy</v>
      </c>
      <c r="B20" s="6" t="s">
        <v>92</v>
      </c>
      <c r="C20" s="7">
        <v>0.1654135338</v>
      </c>
      <c r="D20" s="7">
        <v>0.2243589744</v>
      </c>
      <c r="E20" s="7">
        <v>0.1631205674</v>
      </c>
      <c r="F20" s="7">
        <v>0.1401273885</v>
      </c>
      <c r="G20" s="7">
        <v>0.1363636364</v>
      </c>
      <c r="H20" s="8">
        <f t="shared" si="1"/>
        <v>-0.0037637521</v>
      </c>
      <c r="I20" s="9"/>
      <c r="J20" s="5" t="str">
        <f>IFERROR(__xludf.DUMMYFUNCTION("""COMPUTED_VALUE"""),"Nguyễn Thành Huy")</f>
        <v>Nguyễn Thành Huy</v>
      </c>
      <c r="K20" s="5" t="s">
        <v>92</v>
      </c>
      <c r="L20" s="7">
        <v>0.1333333333</v>
      </c>
      <c r="M20" s="7">
        <v>0.04761904762</v>
      </c>
      <c r="N20" s="7">
        <v>0.2</v>
      </c>
      <c r="O20" s="7">
        <v>0.2105263158</v>
      </c>
      <c r="P20" s="7">
        <v>0.1153846154</v>
      </c>
      <c r="Q20" s="7">
        <v>0.1904761905</v>
      </c>
      <c r="R20" s="7">
        <v>0.06666666667</v>
      </c>
      <c r="S20" s="7">
        <v>0.1363636364</v>
      </c>
      <c r="T20" s="8">
        <f t="shared" si="4"/>
        <v>0.06969696973</v>
      </c>
      <c r="U20" s="8">
        <f t="shared" si="5"/>
        <v>0.0030303031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5" t="str">
        <f>IFERROR(__xludf.DUMMYFUNCTION("""COMPUTED_VALUE"""),"Lý Quài Nhân")</f>
        <v>Lý Quài Nhân</v>
      </c>
      <c r="B21" s="6" t="s">
        <v>93</v>
      </c>
      <c r="C21" s="7">
        <v>0.3209876543</v>
      </c>
      <c r="D21" s="7">
        <v>0.2112676056</v>
      </c>
      <c r="E21" s="7">
        <v>0.1463414634</v>
      </c>
      <c r="F21" s="7">
        <v>0.3068181818</v>
      </c>
      <c r="G21" s="7">
        <v>0.3</v>
      </c>
      <c r="H21" s="8">
        <f t="shared" si="1"/>
        <v>-0.0068181818</v>
      </c>
      <c r="I21" s="9"/>
      <c r="J21" s="5" t="str">
        <f>IFERROR(__xludf.DUMMYFUNCTION("""COMPUTED_VALUE"""),"Lý Quài Nhân")</f>
        <v>Lý Quài Nhân</v>
      </c>
      <c r="K21" s="5" t="s">
        <v>93</v>
      </c>
      <c r="L21" s="7">
        <v>0.3</v>
      </c>
      <c r="M21" s="7">
        <v>0.375</v>
      </c>
      <c r="N21" s="7">
        <v>0.375</v>
      </c>
      <c r="O21" s="7">
        <v>0.2142857143</v>
      </c>
      <c r="P21" s="7">
        <v>0.2142857143</v>
      </c>
      <c r="Q21" s="7">
        <v>0.4285714286</v>
      </c>
      <c r="R21" s="7">
        <v>0.25</v>
      </c>
      <c r="S21" s="7">
        <v>0.3</v>
      </c>
      <c r="T21" s="8">
        <f t="shared" si="4"/>
        <v>0.05</v>
      </c>
      <c r="U21" s="8">
        <f t="shared" si="5"/>
        <v>0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5" t="str">
        <f>IFERROR(__xludf.DUMMYFUNCTION("""COMPUTED_VALUE"""),"Nguyễn Thành Huy")</f>
        <v>Nguyễn Thành Huy</v>
      </c>
      <c r="B22" s="6" t="s">
        <v>94</v>
      </c>
      <c r="C22" s="7">
        <v>0.2435897436</v>
      </c>
      <c r="D22" s="7">
        <v>0.2584269663</v>
      </c>
      <c r="E22" s="7">
        <v>0.2352941176</v>
      </c>
      <c r="F22" s="7">
        <v>0.2233009709</v>
      </c>
      <c r="G22" s="7">
        <v>0.4761904762</v>
      </c>
      <c r="H22" s="8">
        <f t="shared" si="1"/>
        <v>0.2528895053</v>
      </c>
      <c r="I22" s="9"/>
      <c r="J22" s="5" t="str">
        <f>IFERROR(__xludf.DUMMYFUNCTION("""COMPUTED_VALUE"""),"Nguyễn Thành Huy")</f>
        <v>Nguyễn Thành Huy</v>
      </c>
      <c r="K22" s="5" t="s">
        <v>94</v>
      </c>
      <c r="L22" s="7">
        <v>0.2666666667</v>
      </c>
      <c r="M22" s="7">
        <v>0.3333333333</v>
      </c>
      <c r="N22" s="7">
        <v>0.2352941176</v>
      </c>
      <c r="O22" s="7">
        <v>0.3333333333</v>
      </c>
      <c r="P22" s="7">
        <v>0.2142857143</v>
      </c>
      <c r="Q22" s="7">
        <v>0.1818181818</v>
      </c>
      <c r="R22" s="7">
        <v>0.0</v>
      </c>
      <c r="S22" s="7">
        <v>0.4761904762</v>
      </c>
      <c r="T22" s="8">
        <f t="shared" si="4"/>
        <v>0.4761904762</v>
      </c>
      <c r="U22" s="8">
        <f t="shared" si="5"/>
        <v>0.2095238095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5" t="str">
        <f>IFERROR(__xludf.DUMMYFUNCTION("""COMPUTED_VALUE"""),"Lê Minh Tuấn")</f>
        <v>Lê Minh Tuấn</v>
      </c>
      <c r="B23" s="6" t="s">
        <v>95</v>
      </c>
      <c r="C23" s="7">
        <v>0.3111111111</v>
      </c>
      <c r="D23" s="7">
        <v>0.2978723404</v>
      </c>
      <c r="E23" s="7">
        <v>0.3111111111</v>
      </c>
      <c r="F23" s="7">
        <v>0.3466666667</v>
      </c>
      <c r="G23" s="7">
        <v>0.5714285714</v>
      </c>
      <c r="H23" s="8">
        <f t="shared" si="1"/>
        <v>0.2247619047</v>
      </c>
      <c r="I23" s="9"/>
      <c r="J23" s="5" t="str">
        <f>IFERROR(__xludf.DUMMYFUNCTION("""COMPUTED_VALUE"""),"Lê Minh Tuấn")</f>
        <v>Lê Minh Tuấn</v>
      </c>
      <c r="K23" s="5" t="s">
        <v>95</v>
      </c>
      <c r="L23" s="7">
        <v>0.1818181818</v>
      </c>
      <c r="M23" s="7">
        <v>0.3</v>
      </c>
      <c r="N23" s="7">
        <v>0.4285714286</v>
      </c>
      <c r="O23" s="7">
        <v>0.1428571429</v>
      </c>
      <c r="P23" s="7">
        <v>0.4166666667</v>
      </c>
      <c r="Q23" s="7">
        <v>0.3333333333</v>
      </c>
      <c r="R23" s="7">
        <v>0.5555555556</v>
      </c>
      <c r="S23" s="7">
        <v>0.5714285714</v>
      </c>
      <c r="T23" s="8">
        <f t="shared" si="4"/>
        <v>0.0158730158</v>
      </c>
      <c r="U23" s="8">
        <f t="shared" si="5"/>
        <v>0.3896103896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5" t="str">
        <f>IFERROR(__xludf.DUMMYFUNCTION("""COMPUTED_VALUE"""),"Huỳnh Phương Duy")</f>
        <v>Huỳnh Phương Duy</v>
      </c>
      <c r="B24" s="6" t="s">
        <v>96</v>
      </c>
      <c r="C24" s="7">
        <v>0.2666666667</v>
      </c>
      <c r="D24" s="7">
        <v>0.2741935484</v>
      </c>
      <c r="E24" s="7">
        <v>0.296875</v>
      </c>
      <c r="F24" s="7">
        <v>0.2413793103</v>
      </c>
      <c r="G24" s="7">
        <v>0.25</v>
      </c>
      <c r="H24" s="8">
        <f t="shared" si="1"/>
        <v>0.0086206897</v>
      </c>
      <c r="I24" s="9"/>
      <c r="J24" s="5" t="str">
        <f>IFERROR(__xludf.DUMMYFUNCTION("""COMPUTED_VALUE"""),"Huỳnh Phương Duy")</f>
        <v>Huỳnh Phương Duy</v>
      </c>
      <c r="K24" s="5" t="s">
        <v>96</v>
      </c>
      <c r="L24" s="7">
        <v>0.25</v>
      </c>
      <c r="M24" s="7">
        <v>0.3333333333</v>
      </c>
      <c r="N24" s="7">
        <v>0.5</v>
      </c>
      <c r="O24" s="7">
        <v>0.1666666667</v>
      </c>
      <c r="P24" s="7">
        <v>0.2222222222</v>
      </c>
      <c r="Q24" s="7">
        <v>0.2</v>
      </c>
      <c r="R24" s="7">
        <v>0.0</v>
      </c>
      <c r="S24" s="7">
        <v>0.25</v>
      </c>
      <c r="T24" s="8">
        <f t="shared" si="4"/>
        <v>0.25</v>
      </c>
      <c r="U24" s="8">
        <f t="shared" si="5"/>
        <v>0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5" t="str">
        <f>IFERROR(__xludf.DUMMYFUNCTION("""COMPUTED_VALUE"""),"Nguyễn Tuấn Anh")</f>
        <v>Nguyễn Tuấn Anh</v>
      </c>
      <c r="B25" s="6" t="s">
        <v>97</v>
      </c>
      <c r="C25" s="7">
        <v>0.2537313433</v>
      </c>
      <c r="D25" s="7">
        <v>0.3010752688</v>
      </c>
      <c r="E25" s="7">
        <v>0.3544303797</v>
      </c>
      <c r="F25" s="7">
        <v>0.1971830986</v>
      </c>
      <c r="G25" s="7">
        <v>0.25</v>
      </c>
      <c r="H25" s="8">
        <f t="shared" si="1"/>
        <v>0.0528169014</v>
      </c>
      <c r="I25" s="9"/>
      <c r="J25" s="5" t="str">
        <f>IFERROR(__xludf.DUMMYFUNCTION("""COMPUTED_VALUE"""),"Nguyễn Tuấn Anh")</f>
        <v>Nguyễn Tuấn Anh</v>
      </c>
      <c r="K25" s="5" t="s">
        <v>97</v>
      </c>
      <c r="L25" s="7">
        <v>0.3</v>
      </c>
      <c r="M25" s="7">
        <v>0.09090909091</v>
      </c>
      <c r="N25" s="7">
        <v>0.2</v>
      </c>
      <c r="O25" s="7">
        <v>0.06666666667</v>
      </c>
      <c r="P25" s="7">
        <v>0.25</v>
      </c>
      <c r="Q25" s="7">
        <v>0.375</v>
      </c>
      <c r="R25" s="7">
        <v>0.2</v>
      </c>
      <c r="S25" s="7">
        <v>0.25</v>
      </c>
      <c r="T25" s="8">
        <f t="shared" si="4"/>
        <v>0.05</v>
      </c>
      <c r="U25" s="8">
        <f t="shared" si="5"/>
        <v>-0.05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5" t="str">
        <f>IFERROR(__xludf.DUMMYFUNCTION("""COMPUTED_VALUE"""),"Nguyễn Việt Tới")</f>
        <v>Nguyễn Việt Tới</v>
      </c>
      <c r="B26" s="6" t="s">
        <v>98</v>
      </c>
      <c r="C26" s="7">
        <v>0.1224489796</v>
      </c>
      <c r="D26" s="7">
        <v>0.1951219512</v>
      </c>
      <c r="E26" s="7">
        <v>0.07692307692</v>
      </c>
      <c r="F26" s="7">
        <v>0.12</v>
      </c>
      <c r="G26" s="7">
        <v>0.0625</v>
      </c>
      <c r="H26" s="8">
        <f t="shared" si="1"/>
        <v>-0.0575</v>
      </c>
      <c r="I26" s="9"/>
      <c r="J26" s="5" t="str">
        <f>IFERROR(__xludf.DUMMYFUNCTION("""COMPUTED_VALUE"""),"Nguyễn Việt Tới")</f>
        <v>Nguyễn Việt Tới</v>
      </c>
      <c r="K26" s="5" t="s">
        <v>98</v>
      </c>
      <c r="L26" s="7">
        <v>0.5</v>
      </c>
      <c r="M26" s="7">
        <v>0.0</v>
      </c>
      <c r="N26" s="7">
        <v>0.5</v>
      </c>
      <c r="O26" s="7">
        <v>0.0</v>
      </c>
      <c r="P26" s="7">
        <v>0.0</v>
      </c>
      <c r="Q26" s="7">
        <v>0.08333333333</v>
      </c>
      <c r="R26" s="7">
        <v>0.125</v>
      </c>
      <c r="S26" s="7">
        <v>0.0625</v>
      </c>
      <c r="T26" s="8">
        <f t="shared" si="4"/>
        <v>-0.0625</v>
      </c>
      <c r="U26" s="8">
        <f t="shared" si="5"/>
        <v>-0.4375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5" t="str">
        <f>IFERROR(__xludf.DUMMYFUNCTION("""COMPUTED_VALUE"""),"Lê Minh Tuấn")</f>
        <v>Lê Minh Tuấn</v>
      </c>
      <c r="B27" s="6" t="s">
        <v>99</v>
      </c>
      <c r="C27" s="7">
        <v>0.2352941176</v>
      </c>
      <c r="D27" s="7">
        <v>0.1666666667</v>
      </c>
      <c r="E27" s="7">
        <v>0.1818181818</v>
      </c>
      <c r="F27" s="7">
        <v>0.3076923077</v>
      </c>
      <c r="G27" s="7">
        <v>0.2</v>
      </c>
      <c r="H27" s="8">
        <f t="shared" si="1"/>
        <v>-0.1076923077</v>
      </c>
      <c r="I27" s="9"/>
      <c r="J27" s="5" t="str">
        <f>IFERROR(__xludf.DUMMYFUNCTION("""COMPUTED_VALUE"""),"Lê Minh Tuấn")</f>
        <v>Lê Minh Tuấn</v>
      </c>
      <c r="K27" s="5" t="s">
        <v>99</v>
      </c>
      <c r="L27" s="7">
        <v>0.4545454545</v>
      </c>
      <c r="M27" s="7">
        <v>0.2666666667</v>
      </c>
      <c r="N27" s="7">
        <v>0.2222222222</v>
      </c>
      <c r="O27" s="7">
        <v>0.5</v>
      </c>
      <c r="P27" s="7">
        <v>0.0</v>
      </c>
      <c r="Q27" s="7">
        <v>0.2352941176</v>
      </c>
      <c r="R27" s="7">
        <v>0.4615384615</v>
      </c>
      <c r="S27" s="7">
        <v>0.2</v>
      </c>
      <c r="T27" s="8">
        <f t="shared" si="4"/>
        <v>-0.2615384615</v>
      </c>
      <c r="U27" s="8">
        <f t="shared" si="5"/>
        <v>-0.2545454545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>
      <c r="A28" s="5" t="str">
        <f>IFERROR(__xludf.DUMMYFUNCTION("""COMPUTED_VALUE"""),"Lâm Xuân Vinh")</f>
        <v>Lâm Xuân Vinh</v>
      </c>
      <c r="B28" s="6" t="s">
        <v>100</v>
      </c>
      <c r="C28" s="7">
        <v>0.3641618497</v>
      </c>
      <c r="D28" s="7">
        <v>0.2295081967</v>
      </c>
      <c r="E28" s="7">
        <v>0.3295454545</v>
      </c>
      <c r="F28" s="7">
        <v>0.3647798742</v>
      </c>
      <c r="G28" s="7">
        <v>0.3703703704</v>
      </c>
      <c r="H28" s="8">
        <f t="shared" si="1"/>
        <v>0.0055904962</v>
      </c>
      <c r="I28" s="9"/>
      <c r="J28" s="5" t="str">
        <f>IFERROR(__xludf.DUMMYFUNCTION("""COMPUTED_VALUE"""),"Lâm Xuân Vinh")</f>
        <v>Lâm Xuân Vinh</v>
      </c>
      <c r="K28" s="5" t="s">
        <v>100</v>
      </c>
      <c r="L28" s="7">
        <v>0.5789473684</v>
      </c>
      <c r="M28" s="7">
        <v>0.4</v>
      </c>
      <c r="N28" s="7">
        <v>0.2</v>
      </c>
      <c r="O28" s="7">
        <v>0.34375</v>
      </c>
      <c r="P28" s="7">
        <v>0.3333333333</v>
      </c>
      <c r="Q28" s="7">
        <v>0.375</v>
      </c>
      <c r="R28" s="7">
        <v>0.3043478261</v>
      </c>
      <c r="S28" s="7">
        <v>0.3703703704</v>
      </c>
      <c r="T28" s="8">
        <f t="shared" si="4"/>
        <v>0.0660225443</v>
      </c>
      <c r="U28" s="8">
        <f t="shared" si="5"/>
        <v>-0.208576998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5" t="str">
        <f>IFERROR(__xludf.DUMMYFUNCTION("""COMPUTED_VALUE"""),"Ngô Phan Mỹ Tú")</f>
        <v>Ngô Phan Mỹ Tú</v>
      </c>
      <c r="B29" s="6" t="s">
        <v>101</v>
      </c>
      <c r="C29" s="7">
        <v>0.349112426</v>
      </c>
      <c r="D29" s="7">
        <v>0.33640553</v>
      </c>
      <c r="E29" s="7">
        <v>0.3403361345</v>
      </c>
      <c r="F29" s="7">
        <v>0.312195122</v>
      </c>
      <c r="G29" s="7">
        <v>0.3684210526</v>
      </c>
      <c r="H29" s="8">
        <f t="shared" si="1"/>
        <v>0.0562259306</v>
      </c>
      <c r="I29" s="9"/>
      <c r="J29" s="5" t="str">
        <f>IFERROR(__xludf.DUMMYFUNCTION("""COMPUTED_VALUE"""),"Ngô Phan Mỹ Tú")</f>
        <v>Ngô Phan Mỹ Tú</v>
      </c>
      <c r="K29" s="5" t="s">
        <v>101</v>
      </c>
      <c r="L29" s="7">
        <v>0.3111111111</v>
      </c>
      <c r="M29" s="7">
        <v>0.1666666667</v>
      </c>
      <c r="N29" s="7">
        <v>0.380952381</v>
      </c>
      <c r="O29" s="7">
        <v>0.5483870968</v>
      </c>
      <c r="P29" s="7">
        <v>0.2222222222</v>
      </c>
      <c r="Q29" s="7">
        <v>0.2647058824</v>
      </c>
      <c r="R29" s="7">
        <v>0.2608695652</v>
      </c>
      <c r="S29" s="7">
        <v>0.3684210526</v>
      </c>
      <c r="T29" s="8">
        <f t="shared" si="4"/>
        <v>0.1075514874</v>
      </c>
      <c r="U29" s="8">
        <f t="shared" si="5"/>
        <v>0.0573099415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5" t="str">
        <f>IFERROR(__xludf.DUMMYFUNCTION("""COMPUTED_VALUE"""),"Lê Minh Tuấn")</f>
        <v>Lê Minh Tuấn</v>
      </c>
      <c r="B30" s="6" t="s">
        <v>102</v>
      </c>
      <c r="C30" s="7">
        <v>0.09947643979</v>
      </c>
      <c r="D30" s="7">
        <v>0.1346153846</v>
      </c>
      <c r="E30" s="7">
        <v>0.1257861635</v>
      </c>
      <c r="F30" s="7">
        <v>0.08947368421</v>
      </c>
      <c r="G30" s="7">
        <v>0.4</v>
      </c>
      <c r="H30" s="8">
        <f t="shared" si="1"/>
        <v>0.3105263158</v>
      </c>
      <c r="I30" s="9"/>
      <c r="J30" s="5" t="str">
        <f>IFERROR(__xludf.DUMMYFUNCTION("""COMPUTED_VALUE"""),"Lê Minh Tuấn")</f>
        <v>Lê Minh Tuấn</v>
      </c>
      <c r="K30" s="5" t="s">
        <v>102</v>
      </c>
      <c r="L30" s="7">
        <v>0.1904761905</v>
      </c>
      <c r="M30" s="7">
        <v>0.0</v>
      </c>
      <c r="N30" s="7">
        <v>0.04</v>
      </c>
      <c r="O30" s="7">
        <v>0.0625</v>
      </c>
      <c r="P30" s="7">
        <v>0.1538461538</v>
      </c>
      <c r="Q30" s="7">
        <v>0.08823529412</v>
      </c>
      <c r="R30" s="7">
        <v>0.1071428571</v>
      </c>
      <c r="S30" s="7">
        <v>0.4</v>
      </c>
      <c r="T30" s="8">
        <f t="shared" si="4"/>
        <v>0.2928571429</v>
      </c>
      <c r="U30" s="8">
        <f t="shared" si="5"/>
        <v>0.2095238095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5" t="str">
        <f>IFERROR(__xludf.DUMMYFUNCTION("""COMPUTED_VALUE"""),"Nguyễn Thành Huy")</f>
        <v>Nguyễn Thành Huy</v>
      </c>
      <c r="B31" s="6" t="s">
        <v>103</v>
      </c>
      <c r="C31" s="7">
        <v>0.2314814815</v>
      </c>
      <c r="D31" s="7">
        <v>0.1951219512</v>
      </c>
      <c r="E31" s="7">
        <v>0.3173076923</v>
      </c>
      <c r="F31" s="7">
        <v>0.3409090909</v>
      </c>
      <c r="G31" s="7">
        <v>0.4444444444</v>
      </c>
      <c r="H31" s="8">
        <f t="shared" si="1"/>
        <v>0.1035353535</v>
      </c>
      <c r="I31" s="9"/>
      <c r="J31" s="5" t="str">
        <f>IFERROR(__xludf.DUMMYFUNCTION("""COMPUTED_VALUE"""),"Nguyễn Thành Huy")</f>
        <v>Nguyễn Thành Huy</v>
      </c>
      <c r="K31" s="5" t="s">
        <v>103</v>
      </c>
      <c r="L31" s="7">
        <v>0.5454545455</v>
      </c>
      <c r="M31" s="7">
        <v>0.3529411765</v>
      </c>
      <c r="N31" s="7">
        <v>0.4545454545</v>
      </c>
      <c r="O31" s="7">
        <v>0.1333333333</v>
      </c>
      <c r="P31" s="7">
        <v>0.3333333333</v>
      </c>
      <c r="Q31" s="7">
        <v>0.25</v>
      </c>
      <c r="R31" s="7">
        <v>0.4</v>
      </c>
      <c r="S31" s="7">
        <v>0.4444444444</v>
      </c>
      <c r="T31" s="8">
        <f t="shared" si="4"/>
        <v>0.0444444444</v>
      </c>
      <c r="U31" s="8">
        <f t="shared" si="5"/>
        <v>-0.1010101011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>
      <c r="A32" s="5" t="str">
        <f>IFERROR(__xludf.DUMMYFUNCTION("""COMPUTED_VALUE"""),"Nguyễn Thành Huy")</f>
        <v>Nguyễn Thành Huy</v>
      </c>
      <c r="B32" s="6" t="s">
        <v>104</v>
      </c>
      <c r="C32" s="7">
        <v>0.243902439</v>
      </c>
      <c r="D32" s="7">
        <v>0.247311828</v>
      </c>
      <c r="E32" s="7">
        <v>0.3406593407</v>
      </c>
      <c r="F32" s="7">
        <v>0.3378378378</v>
      </c>
      <c r="G32" s="7">
        <v>0.4444444444</v>
      </c>
      <c r="H32" s="8">
        <f t="shared" si="1"/>
        <v>0.1066066066</v>
      </c>
      <c r="I32" s="9"/>
      <c r="J32" s="5" t="str">
        <f>IFERROR(__xludf.DUMMYFUNCTION("""COMPUTED_VALUE"""),"Nguyễn Thành Huy")</f>
        <v>Nguyễn Thành Huy</v>
      </c>
      <c r="K32" s="5" t="s">
        <v>104</v>
      </c>
      <c r="L32" s="7">
        <v>0.3</v>
      </c>
      <c r="M32" s="7">
        <v>0.3333333333</v>
      </c>
      <c r="N32" s="7">
        <v>0.3333333333</v>
      </c>
      <c r="O32" s="7">
        <v>0.5833333333</v>
      </c>
      <c r="P32" s="7">
        <v>0.3636363636</v>
      </c>
      <c r="Q32" s="7">
        <v>0.2307692308</v>
      </c>
      <c r="R32" s="7">
        <v>0.2307692308</v>
      </c>
      <c r="S32" s="7">
        <v>0.4444444444</v>
      </c>
      <c r="T32" s="8">
        <f t="shared" si="4"/>
        <v>0.2136752136</v>
      </c>
      <c r="U32" s="8">
        <f t="shared" si="5"/>
        <v>0.1444444444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>
      <c r="A33" s="5" t="str">
        <f>IFERROR(__xludf.DUMMYFUNCTION("""COMPUTED_VALUE"""),"Nguyễn Thành Huy")</f>
        <v>Nguyễn Thành Huy</v>
      </c>
      <c r="B33" s="6" t="s">
        <v>105</v>
      </c>
      <c r="C33" s="7">
        <v>0.2784810127</v>
      </c>
      <c r="D33" s="7">
        <v>0.1923076923</v>
      </c>
      <c r="E33" s="7">
        <v>0.2300884956</v>
      </c>
      <c r="F33" s="7">
        <v>0.1818181818</v>
      </c>
      <c r="G33" s="7">
        <v>0.15</v>
      </c>
      <c r="H33" s="8">
        <f t="shared" si="1"/>
        <v>-0.0318181818</v>
      </c>
      <c r="I33" s="9"/>
      <c r="J33" s="5" t="str">
        <f>IFERROR(__xludf.DUMMYFUNCTION("""COMPUTED_VALUE"""),"Nguyễn Thành Huy")</f>
        <v>Nguyễn Thành Huy</v>
      </c>
      <c r="K33" s="5" t="s">
        <v>105</v>
      </c>
      <c r="L33" s="7">
        <v>0.1428571429</v>
      </c>
      <c r="M33" s="7">
        <v>0.2</v>
      </c>
      <c r="N33" s="7">
        <v>0.1</v>
      </c>
      <c r="O33" s="7">
        <v>0.2222222222</v>
      </c>
      <c r="P33" s="7">
        <v>0.3636363636</v>
      </c>
      <c r="Q33" s="7">
        <v>0.1428571429</v>
      </c>
      <c r="R33" s="7">
        <v>0.2</v>
      </c>
      <c r="S33" s="7">
        <v>0.15</v>
      </c>
      <c r="T33" s="8">
        <f t="shared" si="4"/>
        <v>-0.05</v>
      </c>
      <c r="U33" s="8">
        <f t="shared" si="5"/>
        <v>0.0071428571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>
      <c r="A34" s="5" t="str">
        <f>IFERROR(__xludf.DUMMYFUNCTION("""COMPUTED_VALUE"""),"Nguyễn Thành Huy")</f>
        <v>Nguyễn Thành Huy</v>
      </c>
      <c r="B34" s="6" t="s">
        <v>106</v>
      </c>
      <c r="C34" s="7">
        <v>0.2857142857</v>
      </c>
      <c r="D34" s="7">
        <v>0.1838235294</v>
      </c>
      <c r="E34" s="7">
        <v>0.2357723577</v>
      </c>
      <c r="F34" s="7">
        <v>0.1594202899</v>
      </c>
      <c r="G34" s="7">
        <v>0.2</v>
      </c>
      <c r="H34" s="8">
        <f t="shared" si="1"/>
        <v>0.0405797101</v>
      </c>
      <c r="I34" s="9"/>
      <c r="J34" s="5" t="str">
        <f>IFERROR(__xludf.DUMMYFUNCTION("""COMPUTED_VALUE"""),"Nguyễn Thành Huy")</f>
        <v>Nguyễn Thành Huy</v>
      </c>
      <c r="K34" s="5" t="s">
        <v>106</v>
      </c>
      <c r="L34" s="7">
        <v>0.09090909091</v>
      </c>
      <c r="M34" s="7">
        <v>0.1428571429</v>
      </c>
      <c r="N34" s="7">
        <v>0.1666666667</v>
      </c>
      <c r="O34" s="7">
        <v>0.1363636364</v>
      </c>
      <c r="P34" s="7">
        <v>0.2307692308</v>
      </c>
      <c r="Q34" s="7">
        <v>0.06666666667</v>
      </c>
      <c r="R34" s="7">
        <v>0.25</v>
      </c>
      <c r="S34" s="7">
        <v>0.2</v>
      </c>
      <c r="T34" s="8">
        <f t="shared" si="4"/>
        <v>-0.05</v>
      </c>
      <c r="U34" s="8">
        <f t="shared" si="5"/>
        <v>0.1090909091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>
      <c r="A35" s="5" t="str">
        <f>IFERROR(__xludf.DUMMYFUNCTION("""COMPUTED_VALUE"""),"Nguyễn Anh Tùng")</f>
        <v>Nguyễn Anh Tùng</v>
      </c>
      <c r="B35" s="6" t="s">
        <v>107</v>
      </c>
      <c r="C35" s="7">
        <v>0.3191489362</v>
      </c>
      <c r="D35" s="7">
        <v>0.2428571429</v>
      </c>
      <c r="E35" s="7">
        <v>0.2985074627</v>
      </c>
      <c r="F35" s="7">
        <v>0.2115384615</v>
      </c>
      <c r="G35" s="7">
        <v>0.5</v>
      </c>
      <c r="H35" s="8">
        <f t="shared" si="1"/>
        <v>0.2884615385</v>
      </c>
      <c r="I35" s="9"/>
      <c r="J35" s="5" t="str">
        <f>IFERROR(__xludf.DUMMYFUNCTION("""COMPUTED_VALUE"""),"Nguyễn Anh Tùng")</f>
        <v>Nguyễn Anh Tùng</v>
      </c>
      <c r="K35" s="5" t="s">
        <v>107</v>
      </c>
      <c r="L35" s="7">
        <v>0.1666666667</v>
      </c>
      <c r="M35" s="7">
        <v>0.1666666667</v>
      </c>
      <c r="N35" s="7">
        <v>0.2727272727</v>
      </c>
      <c r="O35" s="7">
        <v>0.1428571429</v>
      </c>
      <c r="P35" s="7">
        <v>0.0</v>
      </c>
      <c r="Q35" s="7">
        <v>0.375</v>
      </c>
      <c r="R35" s="7">
        <v>0.2857142857</v>
      </c>
      <c r="S35" s="7">
        <v>0.5</v>
      </c>
      <c r="T35" s="8">
        <f t="shared" si="4"/>
        <v>0.2142857143</v>
      </c>
      <c r="U35" s="8">
        <f t="shared" si="5"/>
        <v>0.3333333333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5" t="str">
        <f>IFERROR(__xludf.DUMMYFUNCTION("""COMPUTED_VALUE"""),"Huỳnh Phương Duy")</f>
        <v>Huỳnh Phương Duy</v>
      </c>
      <c r="B36" s="6" t="s">
        <v>108</v>
      </c>
      <c r="C36" s="7">
        <v>0.2457627119</v>
      </c>
      <c r="D36" s="7">
        <v>0.2126436782</v>
      </c>
      <c r="E36" s="7">
        <v>0.1714285714</v>
      </c>
      <c r="F36" s="7">
        <v>0.1677018634</v>
      </c>
      <c r="G36" s="7">
        <v>0.1333333333</v>
      </c>
      <c r="H36" s="8">
        <f t="shared" si="1"/>
        <v>-0.0343685301</v>
      </c>
      <c r="I36" s="9"/>
      <c r="J36" s="5" t="str">
        <f>IFERROR(__xludf.DUMMYFUNCTION("""COMPUTED_VALUE"""),"Huỳnh Phương Duy")</f>
        <v>Huỳnh Phương Duy</v>
      </c>
      <c r="K36" s="5" t="s">
        <v>108</v>
      </c>
      <c r="L36" s="7">
        <v>0.347826087</v>
      </c>
      <c r="M36" s="7">
        <v>0.1428571429</v>
      </c>
      <c r="N36" s="7">
        <v>0.06451612903</v>
      </c>
      <c r="O36" s="7">
        <v>0.3157894737</v>
      </c>
      <c r="P36" s="7">
        <v>0.08695652174</v>
      </c>
      <c r="Q36" s="7">
        <v>0.1153846154</v>
      </c>
      <c r="R36" s="7">
        <v>0.16</v>
      </c>
      <c r="S36" s="7">
        <v>0.1333333333</v>
      </c>
      <c r="T36" s="8">
        <f t="shared" si="4"/>
        <v>-0.0266666667</v>
      </c>
      <c r="U36" s="8">
        <f t="shared" si="5"/>
        <v>-0.2144927537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>
      <c r="A37" s="5" t="str">
        <f>IFERROR(__xludf.DUMMYFUNCTION("""COMPUTED_VALUE"""),"Nguyễn Anh Tùng")</f>
        <v>Nguyễn Anh Tùng</v>
      </c>
      <c r="B37" s="6" t="s">
        <v>109</v>
      </c>
      <c r="C37" s="7">
        <v>0.2826086957</v>
      </c>
      <c r="D37" s="7">
        <v>0.2483660131</v>
      </c>
      <c r="E37" s="7">
        <v>0.2209944751</v>
      </c>
      <c r="F37" s="7">
        <v>0.2</v>
      </c>
      <c r="G37" s="7">
        <v>0.1111111111</v>
      </c>
      <c r="H37" s="8">
        <f t="shared" si="1"/>
        <v>-0.0888888889</v>
      </c>
      <c r="I37" s="9"/>
      <c r="J37" s="5" t="str">
        <f>IFERROR(__xludf.DUMMYFUNCTION("""COMPUTED_VALUE"""),"Nguyễn Anh Tùng")</f>
        <v>Nguyễn Anh Tùng</v>
      </c>
      <c r="K37" s="5" t="s">
        <v>109</v>
      </c>
      <c r="L37" s="7">
        <v>0.25</v>
      </c>
      <c r="M37" s="7">
        <v>0.1333333333</v>
      </c>
      <c r="N37" s="7">
        <v>0.2222222222</v>
      </c>
      <c r="O37" s="7">
        <v>0.1111111111</v>
      </c>
      <c r="P37" s="7">
        <v>0.3636363636</v>
      </c>
      <c r="Q37" s="7">
        <v>0.1739130435</v>
      </c>
      <c r="R37" s="7">
        <v>0.1176470588</v>
      </c>
      <c r="S37" s="7">
        <v>0.1111111111</v>
      </c>
      <c r="T37" s="8">
        <f t="shared" si="4"/>
        <v>-0.0065359477</v>
      </c>
      <c r="U37" s="8">
        <f t="shared" si="5"/>
        <v>-0.1388888889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>
      <c r="A38" s="5" t="str">
        <f>IFERROR(__xludf.DUMMYFUNCTION("""COMPUTED_VALUE"""),"Lê Minh Tuấn")</f>
        <v>Lê Minh Tuấn</v>
      </c>
      <c r="B38" s="6" t="s">
        <v>110</v>
      </c>
      <c r="C38" s="7">
        <v>0.3116883117</v>
      </c>
      <c r="D38" s="7">
        <v>0.2359550562</v>
      </c>
      <c r="E38" s="7">
        <v>0.2891566265</v>
      </c>
      <c r="F38" s="7">
        <v>0.2376237624</v>
      </c>
      <c r="G38" s="7">
        <v>0.25</v>
      </c>
      <c r="H38" s="8">
        <f t="shared" si="1"/>
        <v>0.0123762376</v>
      </c>
      <c r="I38" s="9"/>
      <c r="J38" s="5" t="str">
        <f>IFERROR(__xludf.DUMMYFUNCTION("""COMPUTED_VALUE"""),"Lê Minh Tuấn")</f>
        <v>Lê Minh Tuấn</v>
      </c>
      <c r="K38" s="5" t="s">
        <v>110</v>
      </c>
      <c r="L38" s="7">
        <v>0.1875</v>
      </c>
      <c r="M38" s="7">
        <v>0.0625</v>
      </c>
      <c r="N38" s="7">
        <v>0.2307692308</v>
      </c>
      <c r="O38" s="7">
        <v>0.2142857143</v>
      </c>
      <c r="P38" s="7">
        <v>0.4166666667</v>
      </c>
      <c r="Q38" s="7">
        <v>0.1666666667</v>
      </c>
      <c r="R38" s="7">
        <v>0.3888888889</v>
      </c>
      <c r="S38" s="7">
        <v>0.25</v>
      </c>
      <c r="T38" s="8">
        <f t="shared" si="4"/>
        <v>-0.1388888889</v>
      </c>
      <c r="U38" s="8">
        <f t="shared" si="5"/>
        <v>0.0625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5" t="str">
        <f>IFERROR(__xludf.DUMMYFUNCTION("""COMPUTED_VALUE"""),"Huỳnh Phương Duy")</f>
        <v>Huỳnh Phương Duy</v>
      </c>
      <c r="B39" s="6" t="s">
        <v>111</v>
      </c>
      <c r="C39" s="7">
        <v>0.3220338983</v>
      </c>
      <c r="D39" s="7">
        <v>0.2588235294</v>
      </c>
      <c r="E39" s="7">
        <v>0.2790697674</v>
      </c>
      <c r="F39" s="7">
        <v>0.2777777778</v>
      </c>
      <c r="G39" s="7">
        <v>0.3636363636</v>
      </c>
      <c r="H39" s="8">
        <f t="shared" si="1"/>
        <v>0.0858585858</v>
      </c>
      <c r="I39" s="9"/>
      <c r="J39" s="5" t="str">
        <f>IFERROR(__xludf.DUMMYFUNCTION("""COMPUTED_VALUE"""),"Huỳnh Phương Duy")</f>
        <v>Huỳnh Phương Duy</v>
      </c>
      <c r="K39" s="5" t="s">
        <v>111</v>
      </c>
      <c r="L39" s="7">
        <v>0.375</v>
      </c>
      <c r="M39" s="7">
        <v>0.2142857143</v>
      </c>
      <c r="N39" s="7">
        <v>0.5</v>
      </c>
      <c r="O39" s="7">
        <v>0.3333333333</v>
      </c>
      <c r="P39" s="7">
        <v>0.1111111111</v>
      </c>
      <c r="Q39" s="7">
        <v>0.3333333333</v>
      </c>
      <c r="R39" s="7">
        <v>0.1</v>
      </c>
      <c r="S39" s="7">
        <v>0.3636363636</v>
      </c>
      <c r="T39" s="8">
        <f t="shared" si="4"/>
        <v>0.2636363636</v>
      </c>
      <c r="U39" s="8">
        <f t="shared" si="5"/>
        <v>-0.0113636364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>
      <c r="A40" s="5" t="str">
        <f>IFERROR(__xludf.DUMMYFUNCTION("""COMPUTED_VALUE"""),"Nguyễn Việt Tới")</f>
        <v>Nguyễn Việt Tới</v>
      </c>
      <c r="B40" s="6" t="s">
        <v>112</v>
      </c>
      <c r="C40" s="7">
        <v>0.1981981982</v>
      </c>
      <c r="D40" s="7">
        <v>0.2424242424</v>
      </c>
      <c r="E40" s="7">
        <v>0.2177419355</v>
      </c>
      <c r="F40" s="7">
        <v>0.2525252525</v>
      </c>
      <c r="G40" s="7">
        <v>0.3125</v>
      </c>
      <c r="H40" s="8">
        <f t="shared" si="1"/>
        <v>0.0599747475</v>
      </c>
      <c r="I40" s="9"/>
      <c r="J40" s="5" t="str">
        <f>IFERROR(__xludf.DUMMYFUNCTION("""COMPUTED_VALUE"""),"Nguyễn Việt Tới")</f>
        <v>Nguyễn Việt Tới</v>
      </c>
      <c r="K40" s="5" t="s">
        <v>112</v>
      </c>
      <c r="L40" s="7">
        <v>0.380952381</v>
      </c>
      <c r="M40" s="7">
        <v>0.3</v>
      </c>
      <c r="N40" s="7">
        <v>0.2666666667</v>
      </c>
      <c r="O40" s="7">
        <v>0.2</v>
      </c>
      <c r="P40" s="7">
        <v>0.3571428571</v>
      </c>
      <c r="Q40" s="7">
        <v>0.07142857143</v>
      </c>
      <c r="R40" s="7">
        <v>0.1</v>
      </c>
      <c r="S40" s="7">
        <v>0.3125</v>
      </c>
      <c r="T40" s="8">
        <f t="shared" si="4"/>
        <v>0.2125</v>
      </c>
      <c r="U40" s="8">
        <f t="shared" si="5"/>
        <v>-0.068452381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>
      <c r="A41" s="5" t="str">
        <f>IFERROR(__xludf.DUMMYFUNCTION("""COMPUTED_VALUE"""),"Lâm Xuân Vinh")</f>
        <v>Lâm Xuân Vinh</v>
      </c>
      <c r="B41" s="6" t="s">
        <v>113</v>
      </c>
      <c r="C41" s="7">
        <v>0.2881355932</v>
      </c>
      <c r="D41" s="7">
        <v>0.3417721519</v>
      </c>
      <c r="E41" s="7">
        <v>0.2207792208</v>
      </c>
      <c r="F41" s="7">
        <v>0.2465753425</v>
      </c>
      <c r="G41" s="7">
        <v>0.1</v>
      </c>
      <c r="H41" s="8">
        <f t="shared" si="1"/>
        <v>-0.1465753425</v>
      </c>
      <c r="I41" s="9"/>
      <c r="J41" s="5" t="str">
        <f>IFERROR(__xludf.DUMMYFUNCTION("""COMPUTED_VALUE"""),"Lâm Xuân Vinh")</f>
        <v>Lâm Xuân Vinh</v>
      </c>
      <c r="K41" s="5" t="s">
        <v>113</v>
      </c>
      <c r="L41" s="7">
        <v>0.25</v>
      </c>
      <c r="M41" s="7">
        <v>0.3</v>
      </c>
      <c r="N41" s="7">
        <v>0.1428571429</v>
      </c>
      <c r="O41" s="7">
        <v>0.2</v>
      </c>
      <c r="P41" s="7">
        <v>0.2727272727</v>
      </c>
      <c r="Q41" s="7">
        <v>0.1818181818</v>
      </c>
      <c r="R41" s="7">
        <v>0.375</v>
      </c>
      <c r="S41" s="7">
        <v>0.1</v>
      </c>
      <c r="T41" s="8">
        <f t="shared" si="4"/>
        <v>-0.275</v>
      </c>
      <c r="U41" s="8">
        <f t="shared" si="5"/>
        <v>-0.15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>
      <c r="A42" s="5" t="str">
        <f>IFERROR(__xludf.DUMMYFUNCTION("""COMPUTED_VALUE"""),"Nguyễn Tuấn Anh")</f>
        <v>Nguyễn Tuấn Anh</v>
      </c>
      <c r="B42" s="6" t="s">
        <v>114</v>
      </c>
      <c r="C42" s="7">
        <v>0.1770833333</v>
      </c>
      <c r="D42" s="7">
        <v>0.08910891089</v>
      </c>
      <c r="E42" s="7">
        <v>0.1188118812</v>
      </c>
      <c r="F42" s="7">
        <v>0.1375</v>
      </c>
      <c r="G42" s="7">
        <v>0.09090909091</v>
      </c>
      <c r="H42" s="8">
        <f t="shared" si="1"/>
        <v>-0.04659090909</v>
      </c>
      <c r="I42" s="9"/>
      <c r="J42" s="5" t="str">
        <f>IFERROR(__xludf.DUMMYFUNCTION("""COMPUTED_VALUE"""),"Nguyễn Tuấn Anh")</f>
        <v>Nguyễn Tuấn Anh</v>
      </c>
      <c r="K42" s="5" t="s">
        <v>114</v>
      </c>
      <c r="L42" s="7">
        <v>0.2666666667</v>
      </c>
      <c r="M42" s="7">
        <v>0.1538461538</v>
      </c>
      <c r="N42" s="7">
        <v>0.0</v>
      </c>
      <c r="O42" s="7">
        <v>0.1111111111</v>
      </c>
      <c r="P42" s="7">
        <v>0.2307692308</v>
      </c>
      <c r="Q42" s="7">
        <v>0.07692307692</v>
      </c>
      <c r="R42" s="7">
        <v>0.0</v>
      </c>
      <c r="S42" s="7">
        <v>0.09090909091</v>
      </c>
      <c r="T42" s="8">
        <f t="shared" si="4"/>
        <v>0.09090909091</v>
      </c>
      <c r="U42" s="8">
        <f t="shared" si="5"/>
        <v>-0.1757575758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>
      <c r="A43" s="5" t="str">
        <f>IFERROR(__xludf.DUMMYFUNCTION("""COMPUTED_VALUE"""),"Ngô Phan Mỹ Tú")</f>
        <v>Ngô Phan Mỹ Tú</v>
      </c>
      <c r="B43" s="6" t="s">
        <v>115</v>
      </c>
      <c r="C43" s="7">
        <v>0.2201834862</v>
      </c>
      <c r="D43" s="7">
        <v>0.2322580645</v>
      </c>
      <c r="E43" s="7">
        <v>0.3092783505</v>
      </c>
      <c r="F43" s="7">
        <v>0.2571428571</v>
      </c>
      <c r="G43" s="7">
        <v>0.07142857143</v>
      </c>
      <c r="H43" s="8">
        <f t="shared" si="1"/>
        <v>-0.1857142857</v>
      </c>
      <c r="I43" s="9"/>
      <c r="J43" s="5" t="str">
        <f>IFERROR(__xludf.DUMMYFUNCTION("""COMPUTED_VALUE"""),"Ngô Phan Mỹ Tú")</f>
        <v>Ngô Phan Mỹ Tú</v>
      </c>
      <c r="K43" s="5" t="s">
        <v>115</v>
      </c>
      <c r="L43" s="7">
        <v>0.1333333333</v>
      </c>
      <c r="M43" s="7">
        <v>0.4117647059</v>
      </c>
      <c r="N43" s="7">
        <v>0.25</v>
      </c>
      <c r="O43" s="7">
        <v>0.2857142857</v>
      </c>
      <c r="P43" s="7">
        <v>0.1538461538</v>
      </c>
      <c r="Q43" s="7">
        <v>0.2727272727</v>
      </c>
      <c r="R43" s="7">
        <v>0.2631578947</v>
      </c>
      <c r="S43" s="7">
        <v>0.07142857143</v>
      </c>
      <c r="T43" s="8">
        <f t="shared" si="4"/>
        <v>-0.1917293233</v>
      </c>
      <c r="U43" s="8">
        <f t="shared" si="5"/>
        <v>-0.06190476187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>
      <c r="A44" s="5" t="str">
        <f>IFERROR(__xludf.DUMMYFUNCTION("""COMPUTED_VALUE"""),"Lê Minh Tuấn")</f>
        <v>Lê Minh Tuấn</v>
      </c>
      <c r="B44" s="6" t="s">
        <v>116</v>
      </c>
      <c r="C44" s="7">
        <v>0.4</v>
      </c>
      <c r="D44" s="7">
        <v>0.3423423423</v>
      </c>
      <c r="E44" s="7">
        <v>0.390625</v>
      </c>
      <c r="F44" s="7">
        <v>0.2868217054</v>
      </c>
      <c r="G44" s="7">
        <v>0.380952381</v>
      </c>
      <c r="H44" s="8">
        <f t="shared" si="1"/>
        <v>0.0941306756</v>
      </c>
      <c r="I44" s="9"/>
      <c r="J44" s="5" t="str">
        <f>IFERROR(__xludf.DUMMYFUNCTION("""COMPUTED_VALUE"""),"Lê Minh Tuấn")</f>
        <v>Lê Minh Tuấn</v>
      </c>
      <c r="K44" s="5" t="s">
        <v>116</v>
      </c>
      <c r="L44" s="7">
        <v>0.4</v>
      </c>
      <c r="M44" s="7">
        <v>0.2631578947</v>
      </c>
      <c r="N44" s="7">
        <v>0.3043478261</v>
      </c>
      <c r="O44" s="7">
        <v>0.2857142857</v>
      </c>
      <c r="P44" s="7">
        <v>0.1111111111</v>
      </c>
      <c r="Q44" s="7">
        <v>0.2352941176</v>
      </c>
      <c r="R44" s="7">
        <v>0.3913043478</v>
      </c>
      <c r="S44" s="7">
        <v>0.380952381</v>
      </c>
      <c r="T44" s="8">
        <f t="shared" si="4"/>
        <v>-0.0103519668</v>
      </c>
      <c r="U44" s="8">
        <f t="shared" si="5"/>
        <v>-0.019047619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>
      <c r="A45" s="5" t="str">
        <f>IFERROR(__xludf.DUMMYFUNCTION("""COMPUTED_VALUE"""),"Nguyễn Anh Tùng")</f>
        <v>Nguyễn Anh Tùng</v>
      </c>
      <c r="B45" s="6" t="s">
        <v>117</v>
      </c>
      <c r="C45" s="7">
        <v>0.1925925926</v>
      </c>
      <c r="D45" s="7">
        <v>0.2327044025</v>
      </c>
      <c r="E45" s="7">
        <v>0.2021857923</v>
      </c>
      <c r="F45" s="7">
        <v>0.1791907514</v>
      </c>
      <c r="G45" s="7">
        <v>0.2777777778</v>
      </c>
      <c r="H45" s="8">
        <f t="shared" si="1"/>
        <v>0.0985870264</v>
      </c>
      <c r="I45" s="9"/>
      <c r="J45" s="5" t="str">
        <f>IFERROR(__xludf.DUMMYFUNCTION("""COMPUTED_VALUE"""),"Nguyễn Anh Tùng")</f>
        <v>Nguyễn Anh Tùng</v>
      </c>
      <c r="K45" s="5" t="s">
        <v>117</v>
      </c>
      <c r="L45" s="7">
        <v>0.119047619</v>
      </c>
      <c r="M45" s="7">
        <v>0.2222222222</v>
      </c>
      <c r="N45" s="7">
        <v>0.2173913043</v>
      </c>
      <c r="O45" s="7">
        <v>0.05263157895</v>
      </c>
      <c r="P45" s="7">
        <v>0.3043478261</v>
      </c>
      <c r="Q45" s="7">
        <v>0.1875</v>
      </c>
      <c r="R45" s="7">
        <v>0.1875</v>
      </c>
      <c r="S45" s="7">
        <v>0.2777777778</v>
      </c>
      <c r="T45" s="8">
        <f t="shared" si="4"/>
        <v>0.0902777778</v>
      </c>
      <c r="U45" s="8">
        <f t="shared" si="5"/>
        <v>0.1587301588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>
      <c r="A46" s="5" t="str">
        <f>IFERROR(__xludf.DUMMYFUNCTION("""COMPUTED_VALUE"""),"Huỳnh Phương Duy")</f>
        <v>Huỳnh Phương Duy</v>
      </c>
      <c r="B46" s="6" t="s">
        <v>118</v>
      </c>
      <c r="C46" s="7">
        <v>0.5333333333</v>
      </c>
      <c r="D46" s="7">
        <v>0.4333333333</v>
      </c>
      <c r="E46" s="7">
        <v>0.3529411765</v>
      </c>
      <c r="F46" s="7">
        <v>0.6875</v>
      </c>
      <c r="G46" s="7">
        <v>0.380952381</v>
      </c>
      <c r="H46" s="8">
        <f t="shared" si="1"/>
        <v>-0.306547619</v>
      </c>
      <c r="I46" s="9"/>
      <c r="J46" s="5" t="str">
        <f>IFERROR(__xludf.DUMMYFUNCTION("""COMPUTED_VALUE"""),"Huỳnh Phương Duy")</f>
        <v>Huỳnh Phương Duy</v>
      </c>
      <c r="K46" s="5" t="s">
        <v>118</v>
      </c>
      <c r="L46" s="7">
        <v>0.25</v>
      </c>
      <c r="M46" s="7">
        <v>0.5714285714</v>
      </c>
      <c r="N46" s="7">
        <v>0.3333333333</v>
      </c>
      <c r="O46" s="7">
        <v>0.7</v>
      </c>
      <c r="P46" s="7">
        <v>0.7142857143</v>
      </c>
      <c r="Q46" s="7">
        <v>0.2142857143</v>
      </c>
      <c r="R46" s="7">
        <v>0.3529411765</v>
      </c>
      <c r="S46" s="7">
        <v>0.380952381</v>
      </c>
      <c r="T46" s="8">
        <f t="shared" si="4"/>
        <v>0.0280112045</v>
      </c>
      <c r="U46" s="8">
        <f t="shared" si="5"/>
        <v>0.130952381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>
      <c r="A47" s="5" t="str">
        <f>IFERROR(__xludf.DUMMYFUNCTION("""COMPUTED_VALUE"""),"Huỳnh Phương Duy")</f>
        <v>Huỳnh Phương Duy</v>
      </c>
      <c r="B47" s="6" t="s">
        <v>119</v>
      </c>
      <c r="C47" s="7">
        <v>0.2528735632</v>
      </c>
      <c r="D47" s="7">
        <v>0.2280701754</v>
      </c>
      <c r="E47" s="7">
        <v>0.329787234</v>
      </c>
      <c r="F47" s="7">
        <v>0.21875</v>
      </c>
      <c r="G47" s="7">
        <v>0.25</v>
      </c>
      <c r="H47" s="8">
        <f t="shared" si="1"/>
        <v>0.03125</v>
      </c>
      <c r="I47" s="9"/>
      <c r="J47" s="5" t="str">
        <f>IFERROR(__xludf.DUMMYFUNCTION("""COMPUTED_VALUE"""),"Huỳnh Phương Duy")</f>
        <v>Huỳnh Phương Duy</v>
      </c>
      <c r="K47" s="5" t="s">
        <v>119</v>
      </c>
      <c r="L47" s="7">
        <v>0.1666666667</v>
      </c>
      <c r="M47" s="7">
        <v>0.1052631579</v>
      </c>
      <c r="N47" s="7">
        <v>0.2105263158</v>
      </c>
      <c r="O47" s="7">
        <v>0.125</v>
      </c>
      <c r="P47" s="7">
        <v>0.4705882353</v>
      </c>
      <c r="Q47" s="7">
        <v>0.125</v>
      </c>
      <c r="R47" s="7">
        <v>0.3529411765</v>
      </c>
      <c r="S47" s="7">
        <v>0.25</v>
      </c>
      <c r="T47" s="8">
        <f t="shared" si="4"/>
        <v>-0.1029411765</v>
      </c>
      <c r="U47" s="8">
        <f t="shared" si="5"/>
        <v>0.0833333333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>
      <c r="A48" s="5" t="str">
        <f>IFERROR(__xludf.DUMMYFUNCTION("""COMPUTED_VALUE"""),"Lâm Xuân Vinh")</f>
        <v>Lâm Xuân Vinh</v>
      </c>
      <c r="B48" s="6" t="s">
        <v>120</v>
      </c>
      <c r="C48" s="7">
        <v>0.3714285714</v>
      </c>
      <c r="D48" s="7">
        <v>0.3684210526</v>
      </c>
      <c r="E48" s="7">
        <v>0.3496503497</v>
      </c>
      <c r="F48" s="7">
        <v>0.275862069</v>
      </c>
      <c r="G48" s="7">
        <v>0.2727272727</v>
      </c>
      <c r="H48" s="8">
        <f t="shared" si="1"/>
        <v>-0.0031347963</v>
      </c>
      <c r="I48" s="9"/>
      <c r="J48" s="5" t="str">
        <f>IFERROR(__xludf.DUMMYFUNCTION("""COMPUTED_VALUE"""),"Lâm Xuân Vinh")</f>
        <v>Lâm Xuân Vinh</v>
      </c>
      <c r="K48" s="5" t="s">
        <v>120</v>
      </c>
      <c r="L48" s="7">
        <v>0.6428571429</v>
      </c>
      <c r="M48" s="7">
        <v>0.1333333333</v>
      </c>
      <c r="N48" s="7">
        <v>0.09523809524</v>
      </c>
      <c r="O48" s="7">
        <v>0.3333333333</v>
      </c>
      <c r="P48" s="7">
        <v>0.1764705882</v>
      </c>
      <c r="Q48" s="7">
        <v>0.4</v>
      </c>
      <c r="R48" s="7">
        <v>0.2777777778</v>
      </c>
      <c r="S48" s="7">
        <v>0.2727272727</v>
      </c>
      <c r="T48" s="8">
        <f t="shared" si="4"/>
        <v>-0.0050505051</v>
      </c>
      <c r="U48" s="8">
        <f t="shared" si="5"/>
        <v>-0.3701298702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>
      <c r="A49" s="5" t="str">
        <f>IFERROR(__xludf.DUMMYFUNCTION("""COMPUTED_VALUE"""),"Lý Quài Nhân")</f>
        <v>Lý Quài Nhân</v>
      </c>
      <c r="B49" s="6" t="s">
        <v>121</v>
      </c>
      <c r="C49" s="7">
        <v>0.1764705882</v>
      </c>
      <c r="D49" s="7">
        <v>0.2361111111</v>
      </c>
      <c r="E49" s="7">
        <v>0.1818181818</v>
      </c>
      <c r="F49" s="7">
        <v>0.1323529412</v>
      </c>
      <c r="G49" s="7">
        <v>0.2857142857</v>
      </c>
      <c r="H49" s="8">
        <f t="shared" si="1"/>
        <v>0.1533613445</v>
      </c>
      <c r="I49" s="9"/>
      <c r="J49" s="5" t="str">
        <f>IFERROR(__xludf.DUMMYFUNCTION("""COMPUTED_VALUE"""),"Lý Quài Nhân")</f>
        <v>Lý Quài Nhân</v>
      </c>
      <c r="K49" s="5" t="s">
        <v>121</v>
      </c>
      <c r="L49" s="7">
        <v>0.1538461538</v>
      </c>
      <c r="M49" s="7">
        <v>0.09090909091</v>
      </c>
      <c r="N49" s="7">
        <v>0.0</v>
      </c>
      <c r="O49" s="7">
        <v>0.09090909091</v>
      </c>
      <c r="P49" s="7">
        <v>0.125</v>
      </c>
      <c r="Q49" s="7">
        <v>0.2222222222</v>
      </c>
      <c r="R49" s="7">
        <v>0.2</v>
      </c>
      <c r="S49" s="7">
        <v>0.2857142857</v>
      </c>
      <c r="T49" s="8">
        <f t="shared" si="4"/>
        <v>0.0857142857</v>
      </c>
      <c r="U49" s="8">
        <f t="shared" si="5"/>
        <v>0.1318681319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>
      <c r="A50" s="5" t="str">
        <f>IFERROR(__xludf.DUMMYFUNCTION("""COMPUTED_VALUE"""),"Đoàn Công Tín")</f>
        <v>Đoàn Công Tín</v>
      </c>
      <c r="B50" s="6" t="s">
        <v>122</v>
      </c>
      <c r="C50" s="7">
        <v>0.078125</v>
      </c>
      <c r="D50" s="7">
        <v>0.1101321586</v>
      </c>
      <c r="E50" s="7">
        <v>0.1235059761</v>
      </c>
      <c r="F50" s="7">
        <v>0.1673819742</v>
      </c>
      <c r="G50" s="7">
        <v>0.0625</v>
      </c>
      <c r="H50" s="8">
        <f t="shared" si="1"/>
        <v>-0.1048819742</v>
      </c>
      <c r="I50" s="9"/>
      <c r="J50" s="5" t="str">
        <f>IFERROR(__xludf.DUMMYFUNCTION("""COMPUTED_VALUE"""),"Đoàn Công Tín")</f>
        <v>Đoàn Công Tín</v>
      </c>
      <c r="K50" s="5" t="s">
        <v>122</v>
      </c>
      <c r="L50" s="7">
        <v>0.1538461538</v>
      </c>
      <c r="M50" s="7">
        <v>0.1666666667</v>
      </c>
      <c r="N50" s="7">
        <v>0.3548387097</v>
      </c>
      <c r="O50" s="7">
        <v>0.1666666667</v>
      </c>
      <c r="P50" s="7">
        <v>0.1025641026</v>
      </c>
      <c r="Q50" s="7">
        <v>0.1</v>
      </c>
      <c r="R50" s="7">
        <v>0.1612903226</v>
      </c>
      <c r="S50" s="7">
        <v>0.0625</v>
      </c>
      <c r="T50" s="8">
        <f t="shared" si="4"/>
        <v>-0.0987903226</v>
      </c>
      <c r="U50" s="8">
        <f t="shared" si="5"/>
        <v>-0.0913461538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>
      <c r="A51" s="5" t="str">
        <f>IFERROR(__xludf.DUMMYFUNCTION("""COMPUTED_VALUE"""),"Nguyễn Tuấn Anh")</f>
        <v>Nguyễn Tuấn Anh</v>
      </c>
      <c r="B51" s="6" t="s">
        <v>123</v>
      </c>
      <c r="C51" s="7"/>
      <c r="D51" s="7"/>
      <c r="E51" s="7"/>
      <c r="F51" s="7">
        <v>0.1428571429</v>
      </c>
      <c r="G51" s="7">
        <v>1.0</v>
      </c>
      <c r="H51" s="8">
        <f t="shared" si="1"/>
        <v>0.8571428571</v>
      </c>
      <c r="I51" s="9"/>
      <c r="J51" s="5" t="str">
        <f>IFERROR(__xludf.DUMMYFUNCTION("""COMPUTED_VALUE"""),"Nguyễn Tuấn Anh")</f>
        <v>Nguyễn Tuấn Anh</v>
      </c>
      <c r="K51" s="5" t="s">
        <v>123</v>
      </c>
      <c r="L51" s="7"/>
      <c r="M51" s="7"/>
      <c r="N51" s="7">
        <v>0.0</v>
      </c>
      <c r="O51" s="7">
        <v>0.0</v>
      </c>
      <c r="P51" s="7">
        <v>0.3333333333</v>
      </c>
      <c r="Q51" s="7">
        <v>0.0</v>
      </c>
      <c r="R51" s="7">
        <v>0.0</v>
      </c>
      <c r="S51" s="7">
        <v>1.0</v>
      </c>
      <c r="T51" s="8">
        <f t="shared" si="4"/>
        <v>1</v>
      </c>
      <c r="U51" s="8">
        <f t="shared" si="5"/>
        <v>1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>
      <c r="A52" s="5" t="str">
        <f>IFERROR(__xludf.DUMMYFUNCTION("""COMPUTED_VALUE"""),"Nguyễn Tuấn Anh")</f>
        <v>Nguyễn Tuấn Anh</v>
      </c>
      <c r="B52" s="6" t="s">
        <v>124</v>
      </c>
      <c r="C52" s="7">
        <v>0.2068965517</v>
      </c>
      <c r="D52" s="7">
        <v>0.1666666667</v>
      </c>
      <c r="E52" s="7">
        <v>0.1130434783</v>
      </c>
      <c r="F52" s="7">
        <v>0.1574074074</v>
      </c>
      <c r="G52" s="7">
        <v>0.125</v>
      </c>
      <c r="H52" s="8">
        <f t="shared" si="1"/>
        <v>-0.0324074074</v>
      </c>
      <c r="I52" s="9"/>
      <c r="J52" s="5" t="str">
        <f>IFERROR(__xludf.DUMMYFUNCTION("""COMPUTED_VALUE"""),"Nguyễn Tuấn Anh")</f>
        <v>Nguyễn Tuấn Anh</v>
      </c>
      <c r="K52" s="5" t="s">
        <v>124</v>
      </c>
      <c r="L52" s="7">
        <v>0.2352941176</v>
      </c>
      <c r="M52" s="7">
        <v>0.2857142857</v>
      </c>
      <c r="N52" s="7">
        <v>0.1538461538</v>
      </c>
      <c r="O52" s="7">
        <v>0.08333333333</v>
      </c>
      <c r="P52" s="7">
        <v>0.1333333333</v>
      </c>
      <c r="Q52" s="7">
        <v>0.1304347826</v>
      </c>
      <c r="R52" s="7">
        <v>0.07142857143</v>
      </c>
      <c r="S52" s="7">
        <v>0.125</v>
      </c>
      <c r="T52" s="8">
        <f t="shared" si="4"/>
        <v>0.05357142857</v>
      </c>
      <c r="U52" s="8">
        <f t="shared" si="5"/>
        <v>-0.1102941176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>
      <c r="A53" s="5" t="str">
        <f>IFERROR(__xludf.DUMMYFUNCTION("""COMPUTED_VALUE"""),"Lý Quài Nhân")</f>
        <v>Lý Quài Nhân</v>
      </c>
      <c r="B53" s="6" t="s">
        <v>125</v>
      </c>
      <c r="C53" s="7">
        <v>0.1168831169</v>
      </c>
      <c r="D53" s="7">
        <v>0.06741573034</v>
      </c>
      <c r="E53" s="7">
        <v>0.09183673469</v>
      </c>
      <c r="F53" s="7">
        <v>0.0625</v>
      </c>
      <c r="G53" s="7">
        <v>0.0</v>
      </c>
      <c r="H53" s="8">
        <f t="shared" si="1"/>
        <v>-0.0625</v>
      </c>
      <c r="I53" s="9"/>
      <c r="J53" s="5" t="str">
        <f>IFERROR(__xludf.DUMMYFUNCTION("""COMPUTED_VALUE"""),"Lý Quài Nhân")</f>
        <v>Lý Quài Nhân</v>
      </c>
      <c r="K53" s="5" t="s">
        <v>125</v>
      </c>
      <c r="L53" s="7">
        <v>0.0</v>
      </c>
      <c r="M53" s="7">
        <v>0.0</v>
      </c>
      <c r="N53" s="7">
        <v>0.1111111111</v>
      </c>
      <c r="O53" s="7">
        <v>0.05882352941</v>
      </c>
      <c r="P53" s="7">
        <v>0.2</v>
      </c>
      <c r="Q53" s="7">
        <v>0.1</v>
      </c>
      <c r="R53" s="7">
        <v>0.0</v>
      </c>
      <c r="S53" s="7">
        <v>0.0</v>
      </c>
      <c r="T53" s="8">
        <f t="shared" si="4"/>
        <v>0</v>
      </c>
      <c r="U53" s="8">
        <f t="shared" si="5"/>
        <v>0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>
      <c r="A54" s="5" t="str">
        <f>IFERROR(__xludf.DUMMYFUNCTION("""COMPUTED_VALUE"""),"Huỳnh Phương Duy")</f>
        <v>Huỳnh Phương Duy</v>
      </c>
      <c r="B54" s="6" t="s">
        <v>126</v>
      </c>
      <c r="C54" s="7">
        <v>0.2765957447</v>
      </c>
      <c r="D54" s="7">
        <v>0.3965517241</v>
      </c>
      <c r="E54" s="7">
        <v>0.2291666667</v>
      </c>
      <c r="F54" s="7">
        <v>0.2608695652</v>
      </c>
      <c r="G54" s="7">
        <v>0.0</v>
      </c>
      <c r="H54" s="8">
        <f t="shared" si="1"/>
        <v>-0.2608695652</v>
      </c>
      <c r="I54" s="9"/>
      <c r="J54" s="5" t="str">
        <f>IFERROR(__xludf.DUMMYFUNCTION("""COMPUTED_VALUE"""),"Huỳnh Phương Duy")</f>
        <v>Huỳnh Phương Duy</v>
      </c>
      <c r="K54" s="5" t="s">
        <v>126</v>
      </c>
      <c r="L54" s="7">
        <v>0.4</v>
      </c>
      <c r="M54" s="7">
        <v>0.2</v>
      </c>
      <c r="N54" s="7">
        <v>0.4</v>
      </c>
      <c r="O54" s="7">
        <v>0.4285714286</v>
      </c>
      <c r="P54" s="7">
        <v>0.125</v>
      </c>
      <c r="Q54" s="7">
        <v>0.125</v>
      </c>
      <c r="R54" s="7">
        <v>0.3333333333</v>
      </c>
      <c r="S54" s="7">
        <v>0.0</v>
      </c>
      <c r="T54" s="8">
        <f t="shared" si="4"/>
        <v>-0.3333333333</v>
      </c>
      <c r="U54" s="8">
        <f t="shared" si="5"/>
        <v>-0.4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>
      <c r="A55" s="5" t="str">
        <f>IFERROR(__xludf.DUMMYFUNCTION("""COMPUTED_VALUE"""),"Lâm Xuân Vinh")</f>
        <v>Lâm Xuân Vinh</v>
      </c>
      <c r="B55" s="6" t="s">
        <v>127</v>
      </c>
      <c r="C55" s="7">
        <v>0.2</v>
      </c>
      <c r="D55" s="7">
        <v>0.2033898305</v>
      </c>
      <c r="E55" s="7">
        <v>0.2153846154</v>
      </c>
      <c r="F55" s="7">
        <v>0.1147540984</v>
      </c>
      <c r="G55" s="7">
        <v>0.2857142857</v>
      </c>
      <c r="H55" s="8">
        <f t="shared" si="1"/>
        <v>0.1709601873</v>
      </c>
      <c r="I55" s="9"/>
      <c r="J55" s="5" t="str">
        <f>IFERROR(__xludf.DUMMYFUNCTION("""COMPUTED_VALUE"""),"Lâm Xuân Vinh")</f>
        <v>Lâm Xuân Vinh</v>
      </c>
      <c r="K55" s="5" t="s">
        <v>127</v>
      </c>
      <c r="L55" s="7">
        <v>0.0</v>
      </c>
      <c r="M55" s="7">
        <v>0.09090909091</v>
      </c>
      <c r="N55" s="7">
        <v>0.2</v>
      </c>
      <c r="O55" s="7">
        <v>0.125</v>
      </c>
      <c r="P55" s="7">
        <v>0.1818181818</v>
      </c>
      <c r="Q55" s="7">
        <v>0.0</v>
      </c>
      <c r="R55" s="7">
        <v>0.1111111111</v>
      </c>
      <c r="S55" s="7">
        <v>0.2857142857</v>
      </c>
      <c r="T55" s="8">
        <f t="shared" si="4"/>
        <v>0.1746031746</v>
      </c>
      <c r="U55" s="8">
        <f t="shared" si="5"/>
        <v>0.2857142857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>
      <c r="A56" s="5" t="str">
        <f>IFERROR(__xludf.DUMMYFUNCTION("""COMPUTED_VALUE"""),"Nguyễn Thành Huy")</f>
        <v>Nguyễn Thành Huy</v>
      </c>
      <c r="B56" s="6" t="s">
        <v>128</v>
      </c>
      <c r="C56" s="7">
        <v>0.3979057592</v>
      </c>
      <c r="D56" s="7">
        <v>0.2898550725</v>
      </c>
      <c r="E56" s="7">
        <v>0.2969432314</v>
      </c>
      <c r="F56" s="7">
        <v>0.28125</v>
      </c>
      <c r="G56" s="7">
        <v>0.2</v>
      </c>
      <c r="H56" s="8">
        <f t="shared" si="1"/>
        <v>-0.08125</v>
      </c>
      <c r="I56" s="9"/>
      <c r="J56" s="5" t="str">
        <f>IFERROR(__xludf.DUMMYFUNCTION("""COMPUTED_VALUE"""),"Nguyễn Thành Huy")</f>
        <v>Nguyễn Thành Huy</v>
      </c>
      <c r="K56" s="5" t="s">
        <v>128</v>
      </c>
      <c r="L56" s="7">
        <v>0.2857142857</v>
      </c>
      <c r="M56" s="7">
        <v>0.35</v>
      </c>
      <c r="N56" s="7">
        <v>0.35</v>
      </c>
      <c r="O56" s="7">
        <v>0.3157894737</v>
      </c>
      <c r="P56" s="7">
        <v>0.1666666667</v>
      </c>
      <c r="Q56" s="7">
        <v>0.2413793103</v>
      </c>
      <c r="R56" s="7">
        <v>0.325</v>
      </c>
      <c r="S56" s="7">
        <v>0.2</v>
      </c>
      <c r="T56" s="8">
        <f t="shared" si="4"/>
        <v>-0.125</v>
      </c>
      <c r="U56" s="8">
        <f t="shared" si="5"/>
        <v>-0.0857142857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>
      <c r="A57" s="5" t="str">
        <f>IFERROR(__xludf.DUMMYFUNCTION("""COMPUTED_VALUE"""),"Ngô Phan Mỹ Tú")</f>
        <v>Ngô Phan Mỹ Tú</v>
      </c>
      <c r="B57" s="6" t="s">
        <v>129</v>
      </c>
      <c r="C57" s="7">
        <v>0.311827957</v>
      </c>
      <c r="D57" s="7">
        <v>0.3883495146</v>
      </c>
      <c r="E57" s="7">
        <v>0.2956521739</v>
      </c>
      <c r="F57" s="7">
        <v>0.3085106383</v>
      </c>
      <c r="G57" s="7">
        <v>0.2307692308</v>
      </c>
      <c r="H57" s="8">
        <f t="shared" si="1"/>
        <v>-0.0777414075</v>
      </c>
      <c r="I57" s="9"/>
      <c r="J57" s="5" t="str">
        <f>IFERROR(__xludf.DUMMYFUNCTION("""COMPUTED_VALUE"""),"Ngô Phan Mỹ Tú")</f>
        <v>Ngô Phan Mỹ Tú</v>
      </c>
      <c r="K57" s="5" t="s">
        <v>129</v>
      </c>
      <c r="L57" s="7">
        <v>0.6428571429</v>
      </c>
      <c r="M57" s="7">
        <v>0.4666666667</v>
      </c>
      <c r="N57" s="7">
        <v>0.1538461538</v>
      </c>
      <c r="O57" s="7">
        <v>0.2</v>
      </c>
      <c r="P57" s="7">
        <v>0.0</v>
      </c>
      <c r="Q57" s="7">
        <v>0.3125</v>
      </c>
      <c r="R57" s="7">
        <v>0.3636363636</v>
      </c>
      <c r="S57" s="7">
        <v>0.2307692308</v>
      </c>
      <c r="T57" s="8">
        <f t="shared" si="4"/>
        <v>-0.1328671328</v>
      </c>
      <c r="U57" s="8">
        <f t="shared" si="5"/>
        <v>-0.4120879121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>
      <c r="A58" s="5" t="str">
        <f>IFERROR(__xludf.DUMMYFUNCTION("""COMPUTED_VALUE"""),"Lý Quài Nhân")</f>
        <v>Lý Quài Nhân</v>
      </c>
      <c r="B58" s="6" t="s">
        <v>130</v>
      </c>
      <c r="C58" s="7">
        <v>0.1714285714</v>
      </c>
      <c r="D58" s="7">
        <v>0.116751269</v>
      </c>
      <c r="E58" s="7">
        <v>0.1206030151</v>
      </c>
      <c r="F58" s="7">
        <v>0.1611374408</v>
      </c>
      <c r="G58" s="7">
        <v>0.1363636364</v>
      </c>
      <c r="H58" s="8">
        <f t="shared" si="1"/>
        <v>-0.0247738044</v>
      </c>
      <c r="I58" s="9"/>
      <c r="J58" s="5" t="str">
        <f>IFERROR(__xludf.DUMMYFUNCTION("""COMPUTED_VALUE"""),"Lý Quài Nhân")</f>
        <v>Lý Quài Nhân</v>
      </c>
      <c r="K58" s="5" t="s">
        <v>130</v>
      </c>
      <c r="L58" s="7">
        <v>0.2</v>
      </c>
      <c r="M58" s="7">
        <v>0.125</v>
      </c>
      <c r="N58" s="7">
        <v>0.1142857143</v>
      </c>
      <c r="O58" s="7">
        <v>0.2333333333</v>
      </c>
      <c r="P58" s="7">
        <v>0.25</v>
      </c>
      <c r="Q58" s="7">
        <v>0.1538461538</v>
      </c>
      <c r="R58" s="7">
        <v>0.08</v>
      </c>
      <c r="S58" s="7">
        <v>0.1363636364</v>
      </c>
      <c r="T58" s="8">
        <f t="shared" si="4"/>
        <v>0.0563636364</v>
      </c>
      <c r="U58" s="8">
        <f t="shared" si="5"/>
        <v>-0.0636363636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>
      <c r="A59" s="5" t="str">
        <f>IFERROR(__xludf.DUMMYFUNCTION("""COMPUTED_VALUE"""),"Đoàn Công Tín")</f>
        <v>Đoàn Công Tín</v>
      </c>
      <c r="B59" s="6" t="s">
        <v>131</v>
      </c>
      <c r="C59" s="7">
        <v>0.1136363636</v>
      </c>
      <c r="D59" s="7">
        <v>0.05357142857</v>
      </c>
      <c r="E59" s="7">
        <v>0.06349206349</v>
      </c>
      <c r="F59" s="7">
        <v>0.07407407407</v>
      </c>
      <c r="G59" s="7">
        <v>0.0</v>
      </c>
      <c r="H59" s="8">
        <f t="shared" si="1"/>
        <v>-0.07407407407</v>
      </c>
      <c r="I59" s="9"/>
      <c r="J59" s="5" t="str">
        <f>IFERROR(__xludf.DUMMYFUNCTION("""COMPUTED_VALUE"""),"Đoàn Công Tín")</f>
        <v>Đoàn Công Tín</v>
      </c>
      <c r="K59" s="5" t="s">
        <v>131</v>
      </c>
      <c r="L59" s="7">
        <v>0.1</v>
      </c>
      <c r="M59" s="7">
        <v>0.3333333333</v>
      </c>
      <c r="N59" s="7">
        <v>0.0625</v>
      </c>
      <c r="O59" s="7">
        <v>0.0</v>
      </c>
      <c r="P59" s="7">
        <v>0.06666666667</v>
      </c>
      <c r="Q59" s="7">
        <v>0.0</v>
      </c>
      <c r="R59" s="7">
        <v>0.05882352941</v>
      </c>
      <c r="S59" s="7">
        <v>0.0</v>
      </c>
      <c r="T59" s="8">
        <f t="shared" si="4"/>
        <v>-0.05882352941</v>
      </c>
      <c r="U59" s="8">
        <f t="shared" si="5"/>
        <v>-0.1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>
      <c r="A60" s="5" t="str">
        <f>IFERROR(__xludf.DUMMYFUNCTION("""COMPUTED_VALUE"""),"Lê Minh Tuấn")</f>
        <v>Lê Minh Tuấn</v>
      </c>
      <c r="B60" s="6" t="s">
        <v>132</v>
      </c>
      <c r="C60" s="7">
        <v>0.2264150943</v>
      </c>
      <c r="D60" s="7">
        <v>0.2692307692</v>
      </c>
      <c r="E60" s="7">
        <v>0.3</v>
      </c>
      <c r="F60" s="7">
        <v>0.175</v>
      </c>
      <c r="G60" s="7">
        <v>0.2631578947</v>
      </c>
      <c r="H60" s="8">
        <f t="shared" si="1"/>
        <v>0.0881578947</v>
      </c>
      <c r="I60" s="9"/>
      <c r="J60" s="5" t="str">
        <f>IFERROR(__xludf.DUMMYFUNCTION("""COMPUTED_VALUE"""),"Lê Minh Tuấn")</f>
        <v>Lê Minh Tuấn</v>
      </c>
      <c r="K60" s="5" t="s">
        <v>132</v>
      </c>
      <c r="L60" s="7">
        <v>0.0</v>
      </c>
      <c r="M60" s="7">
        <v>0.0</v>
      </c>
      <c r="N60" s="7">
        <v>0.2631578947</v>
      </c>
      <c r="O60" s="7">
        <v>0.0</v>
      </c>
      <c r="P60" s="7">
        <v>0.2380952381</v>
      </c>
      <c r="Q60" s="7">
        <v>0.3333333333</v>
      </c>
      <c r="R60" s="7">
        <v>0.4</v>
      </c>
      <c r="S60" s="7">
        <v>0.2631578947</v>
      </c>
      <c r="T60" s="8">
        <f t="shared" si="4"/>
        <v>-0.1368421053</v>
      </c>
      <c r="U60" s="8">
        <f t="shared" si="5"/>
        <v>0.2631578947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>
      <c r="A61" s="5" t="str">
        <f>IFERROR(__xludf.DUMMYFUNCTION("""COMPUTED_VALUE"""),"Nguyễn Tuấn Anh")</f>
        <v>Nguyễn Tuấn Anh</v>
      </c>
      <c r="B61" s="6" t="s">
        <v>133</v>
      </c>
      <c r="C61" s="7">
        <v>0.3333333333</v>
      </c>
      <c r="D61" s="7">
        <v>0.2654867257</v>
      </c>
      <c r="E61" s="7">
        <v>0.2558139535</v>
      </c>
      <c r="F61" s="7">
        <v>0.3484848485</v>
      </c>
      <c r="G61" s="7">
        <v>0.1739130435</v>
      </c>
      <c r="H61" s="8">
        <f t="shared" si="1"/>
        <v>-0.174571805</v>
      </c>
      <c r="I61" s="9"/>
      <c r="J61" s="5" t="str">
        <f>IFERROR(__xludf.DUMMYFUNCTION("""COMPUTED_VALUE"""),"Nguyễn Tuấn Anh")</f>
        <v>Nguyễn Tuấn Anh</v>
      </c>
      <c r="K61" s="5" t="s">
        <v>133</v>
      </c>
      <c r="L61" s="7">
        <v>0.3636363636</v>
      </c>
      <c r="M61" s="7">
        <v>0.3529411765</v>
      </c>
      <c r="N61" s="7">
        <v>0.32</v>
      </c>
      <c r="O61" s="7">
        <v>0.4</v>
      </c>
      <c r="P61" s="7">
        <v>0.2727272727</v>
      </c>
      <c r="Q61" s="7">
        <v>0.4</v>
      </c>
      <c r="R61" s="7">
        <v>0.2941176471</v>
      </c>
      <c r="S61" s="7">
        <v>0.1739130435</v>
      </c>
      <c r="T61" s="8">
        <f t="shared" si="4"/>
        <v>-0.1202046036</v>
      </c>
      <c r="U61" s="8">
        <f t="shared" si="5"/>
        <v>-0.1897233201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>
      <c r="A62" s="5" t="str">
        <f>IFERROR(__xludf.DUMMYFUNCTION("""COMPUTED_VALUE"""),"Nguyễn Thành Huy")</f>
        <v>Nguyễn Thành Huy</v>
      </c>
      <c r="B62" s="6" t="s">
        <v>134</v>
      </c>
      <c r="C62" s="7"/>
      <c r="D62" s="7">
        <v>0.0</v>
      </c>
      <c r="E62" s="7">
        <v>0.2125984252</v>
      </c>
      <c r="F62" s="7">
        <v>0.2836879433</v>
      </c>
      <c r="G62" s="7">
        <v>0.35</v>
      </c>
      <c r="H62" s="8"/>
      <c r="I62" s="9"/>
      <c r="J62" s="5" t="str">
        <f>IFERROR(__xludf.DUMMYFUNCTION("""COMPUTED_VALUE"""),"Nguyễn Thành Huy")</f>
        <v>Nguyễn Thành Huy</v>
      </c>
      <c r="K62" s="5" t="s">
        <v>134</v>
      </c>
      <c r="L62" s="7">
        <v>0.3684210526</v>
      </c>
      <c r="M62" s="7">
        <v>0.347826087</v>
      </c>
      <c r="N62" s="7">
        <v>0.3333333333</v>
      </c>
      <c r="O62" s="7">
        <v>0.16</v>
      </c>
      <c r="P62" s="7">
        <v>0.3684210526</v>
      </c>
      <c r="Q62" s="7">
        <v>0.1538461538</v>
      </c>
      <c r="R62" s="7">
        <v>0.25</v>
      </c>
      <c r="S62" s="7">
        <v>0.35</v>
      </c>
      <c r="T62" s="8"/>
      <c r="U62" s="8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>
      <c r="A63" s="5" t="str">
        <f>IFERROR(__xludf.DUMMYFUNCTION("""COMPUTED_VALUE"""),"Nguyễn Thành Huy")</f>
        <v>Nguyễn Thành Huy</v>
      </c>
      <c r="B63" s="6" t="s">
        <v>135</v>
      </c>
      <c r="C63" s="7">
        <v>0.4054054054</v>
      </c>
      <c r="D63" s="7">
        <v>0.2232142857</v>
      </c>
      <c r="E63" s="7">
        <v>0.2815533981</v>
      </c>
      <c r="F63" s="7">
        <v>0.3308823529</v>
      </c>
      <c r="G63" s="7">
        <v>0.3888888889</v>
      </c>
      <c r="H63" s="8"/>
      <c r="I63" s="9"/>
      <c r="J63" s="5" t="str">
        <f>IFERROR(__xludf.DUMMYFUNCTION("""COMPUTED_VALUE"""),"Nguyễn Thành Huy")</f>
        <v>Nguyễn Thành Huy</v>
      </c>
      <c r="K63" s="5" t="s">
        <v>135</v>
      </c>
      <c r="L63" s="7">
        <v>0.1666666667</v>
      </c>
      <c r="M63" s="7">
        <v>0.2631578947</v>
      </c>
      <c r="N63" s="7">
        <v>0.1428571429</v>
      </c>
      <c r="O63" s="7">
        <v>0.1875</v>
      </c>
      <c r="P63" s="7">
        <v>0.5333333333</v>
      </c>
      <c r="Q63" s="7">
        <v>0.3703703704</v>
      </c>
      <c r="R63" s="7">
        <v>0.5185185185</v>
      </c>
      <c r="S63" s="7">
        <v>0.3888888889</v>
      </c>
      <c r="T63" s="8"/>
      <c r="U63" s="8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>
      <c r="A64" s="10" t="s">
        <v>72</v>
      </c>
      <c r="B64" s="11"/>
      <c r="C64" s="12">
        <v>0.2487732342</v>
      </c>
      <c r="D64" s="12">
        <v>0.2283760225</v>
      </c>
      <c r="E64" s="12">
        <v>0.2352471027</v>
      </c>
      <c r="F64" s="12">
        <v>0.2224526834</v>
      </c>
      <c r="G64" s="12">
        <v>0.2540834846</v>
      </c>
      <c r="H64" s="13">
        <f>G64-F64</f>
        <v>0.0316308012</v>
      </c>
      <c r="I64" s="9"/>
      <c r="J64" s="10" t="s">
        <v>72</v>
      </c>
      <c r="K64" s="11"/>
      <c r="L64" s="12">
        <v>0.2528940338</v>
      </c>
      <c r="M64" s="12">
        <v>0.2226211849</v>
      </c>
      <c r="N64" s="12">
        <v>0.2130518234</v>
      </c>
      <c r="O64" s="12">
        <v>0.2204198473</v>
      </c>
      <c r="P64" s="12">
        <v>0.2221238938</v>
      </c>
      <c r="Q64" s="12">
        <v>0.2172096909</v>
      </c>
      <c r="R64" s="12">
        <v>0.2075471698</v>
      </c>
      <c r="S64" s="12">
        <v>0.2540834846</v>
      </c>
      <c r="T64" s="13">
        <f>S64-R64</f>
        <v>0.0465363148</v>
      </c>
      <c r="U64" s="13">
        <f>S64-L64</f>
        <v>0.0011894508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>
      <c r="A65" s="9"/>
      <c r="B65" s="9"/>
      <c r="C65" s="14"/>
      <c r="D65" s="14"/>
      <c r="E65" s="14"/>
      <c r="F65" s="14"/>
      <c r="G65" s="14"/>
      <c r="H65" s="1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>
      <c r="A66" s="9"/>
      <c r="B66" s="9"/>
      <c r="C66" s="14"/>
      <c r="D66" s="14"/>
      <c r="E66" s="14"/>
      <c r="F66" s="14"/>
      <c r="G66" s="14"/>
      <c r="H66" s="15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>
      <c r="A67" s="9"/>
      <c r="B67" s="9"/>
      <c r="C67" s="14"/>
      <c r="D67" s="14"/>
      <c r="E67" s="14"/>
      <c r="F67" s="14"/>
      <c r="G67" s="14"/>
      <c r="H67" s="15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>
      <c r="A68" s="9"/>
      <c r="B68" s="9"/>
      <c r="C68" s="14"/>
      <c r="D68" s="14"/>
      <c r="E68" s="14"/>
      <c r="F68" s="14"/>
      <c r="G68" s="14"/>
      <c r="H68" s="15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>
      <c r="A69" s="9"/>
      <c r="B69" s="9"/>
      <c r="C69" s="14"/>
      <c r="D69" s="14"/>
      <c r="E69" s="14"/>
      <c r="F69" s="14"/>
      <c r="G69" s="14"/>
      <c r="H69" s="15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>
      <c r="A70" s="9"/>
      <c r="B70" s="9"/>
      <c r="C70" s="14"/>
      <c r="D70" s="14"/>
      <c r="E70" s="14"/>
      <c r="F70" s="14"/>
      <c r="G70" s="14"/>
      <c r="H70" s="15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>
      <c r="A71" s="9"/>
      <c r="B71" s="9"/>
      <c r="C71" s="14"/>
      <c r="D71" s="14"/>
      <c r="E71" s="14"/>
      <c r="F71" s="14"/>
      <c r="G71" s="14"/>
      <c r="H71" s="15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>
      <c r="A72" s="9"/>
      <c r="B72" s="9"/>
      <c r="C72" s="14"/>
      <c r="D72" s="14"/>
      <c r="E72" s="14"/>
      <c r="F72" s="14"/>
      <c r="G72" s="14"/>
      <c r="H72" s="15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>
      <c r="A73" s="9"/>
      <c r="B73" s="9"/>
      <c r="C73" s="14"/>
      <c r="D73" s="14"/>
      <c r="E73" s="14"/>
      <c r="F73" s="14"/>
      <c r="G73" s="14"/>
      <c r="H73" s="15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9"/>
      <c r="B74" s="9"/>
      <c r="C74" s="14"/>
      <c r="D74" s="14"/>
      <c r="E74" s="14"/>
      <c r="F74" s="14"/>
      <c r="G74" s="14"/>
      <c r="H74" s="1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>
      <c r="A75" s="9"/>
      <c r="B75" s="9"/>
      <c r="C75" s="14"/>
      <c r="D75" s="14"/>
      <c r="E75" s="14"/>
      <c r="F75" s="14"/>
      <c r="G75" s="14"/>
      <c r="H75" s="15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>
      <c r="A76" s="9"/>
      <c r="B76" s="9"/>
      <c r="C76" s="14"/>
      <c r="D76" s="14"/>
      <c r="E76" s="14"/>
      <c r="F76" s="14"/>
      <c r="G76" s="14"/>
      <c r="H76" s="15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>
      <c r="A77" s="9"/>
      <c r="B77" s="9"/>
      <c r="C77" s="14"/>
      <c r="D77" s="14"/>
      <c r="E77" s="14"/>
      <c r="F77" s="14"/>
      <c r="G77" s="14"/>
      <c r="H77" s="15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>
      <c r="A78" s="9"/>
      <c r="B78" s="9"/>
      <c r="C78" s="14"/>
      <c r="D78" s="14"/>
      <c r="E78" s="14"/>
      <c r="F78" s="14"/>
      <c r="G78" s="14"/>
      <c r="H78" s="15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>
      <c r="A79" s="9"/>
      <c r="B79" s="9"/>
      <c r="C79" s="14"/>
      <c r="D79" s="14"/>
      <c r="E79" s="14"/>
      <c r="F79" s="14"/>
      <c r="G79" s="14"/>
      <c r="H79" s="15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>
      <c r="A80" s="9"/>
      <c r="B80" s="9"/>
      <c r="C80" s="14"/>
      <c r="D80" s="14"/>
      <c r="E80" s="14"/>
      <c r="F80" s="14"/>
      <c r="G80" s="14"/>
      <c r="H80" s="15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>
      <c r="A81" s="9"/>
      <c r="B81" s="9"/>
      <c r="C81" s="14"/>
      <c r="D81" s="14"/>
      <c r="E81" s="14"/>
      <c r="F81" s="14"/>
      <c r="G81" s="14"/>
      <c r="H81" s="15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>
      <c r="A82" s="9"/>
      <c r="B82" s="9"/>
      <c r="C82" s="14"/>
      <c r="D82" s="14"/>
      <c r="E82" s="14"/>
      <c r="F82" s="14"/>
      <c r="G82" s="14"/>
      <c r="H82" s="15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>
      <c r="A83" s="9"/>
      <c r="B83" s="9"/>
      <c r="C83" s="14"/>
      <c r="D83" s="14"/>
      <c r="E83" s="14"/>
      <c r="F83" s="14"/>
      <c r="G83" s="14"/>
      <c r="H83" s="15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>
      <c r="A84" s="9"/>
      <c r="B84" s="9"/>
      <c r="C84" s="14"/>
      <c r="D84" s="14"/>
      <c r="E84" s="14"/>
      <c r="F84" s="14"/>
      <c r="G84" s="14"/>
      <c r="H84" s="15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>
      <c r="A85" s="9"/>
      <c r="B85" s="9"/>
      <c r="C85" s="14"/>
      <c r="D85" s="14"/>
      <c r="E85" s="14"/>
      <c r="F85" s="14"/>
      <c r="G85" s="14"/>
      <c r="H85" s="15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>
      <c r="A86" s="9"/>
      <c r="B86" s="9"/>
      <c r="C86" s="14"/>
      <c r="D86" s="14"/>
      <c r="E86" s="14"/>
      <c r="F86" s="14"/>
      <c r="G86" s="14"/>
      <c r="H86" s="15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>
      <c r="A87" s="9"/>
      <c r="B87" s="9"/>
      <c r="C87" s="14"/>
      <c r="D87" s="14"/>
      <c r="E87" s="14"/>
      <c r="F87" s="14"/>
      <c r="G87" s="14"/>
      <c r="H87" s="15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>
      <c r="A88" s="9"/>
      <c r="B88" s="9"/>
      <c r="C88" s="14"/>
      <c r="D88" s="14"/>
      <c r="E88" s="14"/>
      <c r="F88" s="14"/>
      <c r="G88" s="14"/>
      <c r="H88" s="15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>
      <c r="A89" s="9"/>
      <c r="B89" s="9"/>
      <c r="C89" s="14"/>
      <c r="D89" s="14"/>
      <c r="E89" s="14"/>
      <c r="F89" s="14"/>
      <c r="G89" s="14"/>
      <c r="H89" s="1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>
      <c r="A90" s="9"/>
      <c r="B90" s="9"/>
      <c r="C90" s="14"/>
      <c r="D90" s="14"/>
      <c r="E90" s="14"/>
      <c r="F90" s="14"/>
      <c r="G90" s="14"/>
      <c r="H90" s="15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>
      <c r="A91" s="9"/>
      <c r="B91" s="9"/>
      <c r="C91" s="14"/>
      <c r="D91" s="14"/>
      <c r="E91" s="14"/>
      <c r="F91" s="14"/>
      <c r="G91" s="14"/>
      <c r="H91" s="15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>
      <c r="A92" s="9"/>
      <c r="B92" s="9"/>
      <c r="C92" s="14"/>
      <c r="D92" s="14"/>
      <c r="E92" s="14"/>
      <c r="F92" s="14"/>
      <c r="G92" s="14"/>
      <c r="H92" s="15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>
      <c r="A93" s="9"/>
      <c r="B93" s="9"/>
      <c r="C93" s="14"/>
      <c r="D93" s="14"/>
      <c r="E93" s="14"/>
      <c r="F93" s="14"/>
      <c r="G93" s="14"/>
      <c r="H93" s="15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>
      <c r="A94" s="9"/>
      <c r="B94" s="9"/>
      <c r="C94" s="14"/>
      <c r="D94" s="14"/>
      <c r="E94" s="14"/>
      <c r="F94" s="14"/>
      <c r="G94" s="14"/>
      <c r="H94" s="15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>
      <c r="A95" s="9"/>
      <c r="B95" s="9"/>
      <c r="C95" s="14"/>
      <c r="D95" s="14"/>
      <c r="E95" s="14"/>
      <c r="F95" s="14"/>
      <c r="G95" s="14"/>
      <c r="H95" s="1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>
      <c r="A96" s="9"/>
      <c r="B96" s="9"/>
      <c r="C96" s="14"/>
      <c r="D96" s="14"/>
      <c r="E96" s="14"/>
      <c r="F96" s="14"/>
      <c r="G96" s="14"/>
      <c r="H96" s="15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>
      <c r="A97" s="9"/>
      <c r="B97" s="9"/>
      <c r="C97" s="14"/>
      <c r="D97" s="14"/>
      <c r="E97" s="14"/>
      <c r="F97" s="14"/>
      <c r="G97" s="14"/>
      <c r="H97" s="15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>
      <c r="A98" s="9"/>
      <c r="B98" s="9"/>
      <c r="C98" s="14"/>
      <c r="D98" s="14"/>
      <c r="E98" s="14"/>
      <c r="F98" s="14"/>
      <c r="G98" s="14"/>
      <c r="H98" s="15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>
      <c r="A99" s="9"/>
      <c r="B99" s="9"/>
      <c r="C99" s="14"/>
      <c r="D99" s="14"/>
      <c r="E99" s="14"/>
      <c r="F99" s="14"/>
      <c r="G99" s="14"/>
      <c r="H99" s="15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>
      <c r="A100" s="9"/>
      <c r="B100" s="9"/>
      <c r="C100" s="14"/>
      <c r="D100" s="14"/>
      <c r="E100" s="14"/>
      <c r="F100" s="14"/>
      <c r="G100" s="14"/>
      <c r="H100" s="15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>
      <c r="A101" s="9"/>
      <c r="B101" s="9"/>
      <c r="C101" s="14"/>
      <c r="D101" s="14"/>
      <c r="E101" s="14"/>
      <c r="F101" s="14"/>
      <c r="G101" s="14"/>
      <c r="H101" s="15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>
      <c r="A102" s="9"/>
      <c r="B102" s="9"/>
      <c r="C102" s="14"/>
      <c r="D102" s="14"/>
      <c r="E102" s="14"/>
      <c r="F102" s="14"/>
      <c r="G102" s="14"/>
      <c r="H102" s="15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>
      <c r="A103" s="9"/>
      <c r="B103" s="9"/>
      <c r="C103" s="14"/>
      <c r="D103" s="14"/>
      <c r="E103" s="14"/>
      <c r="F103" s="14"/>
      <c r="G103" s="14"/>
      <c r="H103" s="15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>
      <c r="A104" s="9"/>
      <c r="B104" s="9"/>
      <c r="C104" s="14"/>
      <c r="D104" s="14"/>
      <c r="E104" s="14"/>
      <c r="F104" s="14"/>
      <c r="G104" s="14"/>
      <c r="H104" s="15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>
      <c r="A105" s="9"/>
      <c r="B105" s="9"/>
      <c r="C105" s="14"/>
      <c r="D105" s="14"/>
      <c r="E105" s="14"/>
      <c r="F105" s="14"/>
      <c r="G105" s="14"/>
      <c r="H105" s="15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>
      <c r="A106" s="9"/>
      <c r="B106" s="9"/>
      <c r="C106" s="14"/>
      <c r="D106" s="14"/>
      <c r="E106" s="14"/>
      <c r="F106" s="14"/>
      <c r="G106" s="14"/>
      <c r="H106" s="15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>
      <c r="A107" s="9"/>
      <c r="B107" s="9"/>
      <c r="C107" s="14"/>
      <c r="D107" s="14"/>
      <c r="E107" s="14"/>
      <c r="F107" s="14"/>
      <c r="G107" s="14"/>
      <c r="H107" s="15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>
      <c r="A108" s="9"/>
      <c r="B108" s="9"/>
      <c r="C108" s="14"/>
      <c r="D108" s="14"/>
      <c r="E108" s="14"/>
      <c r="F108" s="14"/>
      <c r="G108" s="14"/>
      <c r="H108" s="15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>
      <c r="A109" s="9"/>
      <c r="B109" s="9"/>
      <c r="C109" s="14"/>
      <c r="D109" s="14"/>
      <c r="E109" s="14"/>
      <c r="F109" s="14"/>
      <c r="G109" s="14"/>
      <c r="H109" s="15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>
      <c r="A110" s="9"/>
      <c r="B110" s="9"/>
      <c r="C110" s="14"/>
      <c r="D110" s="14"/>
      <c r="E110" s="14"/>
      <c r="F110" s="14"/>
      <c r="G110" s="14"/>
      <c r="H110" s="15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>
      <c r="A111" s="9"/>
      <c r="B111" s="9"/>
      <c r="C111" s="14"/>
      <c r="D111" s="14"/>
      <c r="E111" s="14"/>
      <c r="F111" s="14"/>
      <c r="G111" s="14"/>
      <c r="H111" s="15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>
      <c r="A112" s="9"/>
      <c r="B112" s="9"/>
      <c r="C112" s="14"/>
      <c r="D112" s="14"/>
      <c r="E112" s="14"/>
      <c r="F112" s="14"/>
      <c r="G112" s="14"/>
      <c r="H112" s="15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>
      <c r="A113" s="9"/>
      <c r="B113" s="9"/>
      <c r="C113" s="14"/>
      <c r="D113" s="14"/>
      <c r="E113" s="14"/>
      <c r="F113" s="14"/>
      <c r="G113" s="14"/>
      <c r="H113" s="1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>
      <c r="A114" s="9"/>
      <c r="B114" s="9"/>
      <c r="C114" s="14"/>
      <c r="D114" s="14"/>
      <c r="E114" s="14"/>
      <c r="F114" s="14"/>
      <c r="G114" s="14"/>
      <c r="H114" s="1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>
      <c r="A115" s="9"/>
      <c r="B115" s="9"/>
      <c r="C115" s="14"/>
      <c r="D115" s="14"/>
      <c r="E115" s="14"/>
      <c r="F115" s="14"/>
      <c r="G115" s="14"/>
      <c r="H115" s="1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>
      <c r="A116" s="9"/>
      <c r="B116" s="9"/>
      <c r="C116" s="14"/>
      <c r="D116" s="14"/>
      <c r="E116" s="14"/>
      <c r="F116" s="14"/>
      <c r="G116" s="14"/>
      <c r="H116" s="1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>
      <c r="A117" s="9"/>
      <c r="B117" s="9"/>
      <c r="C117" s="14"/>
      <c r="D117" s="14"/>
      <c r="E117" s="14"/>
      <c r="F117" s="14"/>
      <c r="G117" s="14"/>
      <c r="H117" s="1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>
      <c r="A118" s="9"/>
      <c r="B118" s="9"/>
      <c r="C118" s="14"/>
      <c r="D118" s="14"/>
      <c r="E118" s="14"/>
      <c r="F118" s="14"/>
      <c r="G118" s="14"/>
      <c r="H118" s="1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>
      <c r="A119" s="9"/>
      <c r="B119" s="9"/>
      <c r="C119" s="14"/>
      <c r="D119" s="14"/>
      <c r="E119" s="14"/>
      <c r="F119" s="14"/>
      <c r="G119" s="14"/>
      <c r="H119" s="1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>
      <c r="A120" s="9"/>
      <c r="B120" s="9"/>
      <c r="C120" s="14"/>
      <c r="D120" s="14"/>
      <c r="E120" s="14"/>
      <c r="F120" s="14"/>
      <c r="G120" s="14"/>
      <c r="H120" s="1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>
      <c r="A121" s="9"/>
      <c r="B121" s="9"/>
      <c r="C121" s="14"/>
      <c r="D121" s="14"/>
      <c r="E121" s="14"/>
      <c r="F121" s="14"/>
      <c r="G121" s="14"/>
      <c r="H121" s="1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>
      <c r="A122" s="9"/>
      <c r="B122" s="9"/>
      <c r="C122" s="14"/>
      <c r="D122" s="14"/>
      <c r="E122" s="14"/>
      <c r="F122" s="14"/>
      <c r="G122" s="14"/>
      <c r="H122" s="1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>
      <c r="A123" s="9"/>
      <c r="B123" s="9"/>
      <c r="C123" s="14"/>
      <c r="D123" s="14"/>
      <c r="E123" s="14"/>
      <c r="F123" s="14"/>
      <c r="G123" s="14"/>
      <c r="H123" s="1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>
      <c r="A124" s="9"/>
      <c r="B124" s="9"/>
      <c r="C124" s="14"/>
      <c r="D124" s="14"/>
      <c r="E124" s="14"/>
      <c r="F124" s="14"/>
      <c r="G124" s="14"/>
      <c r="H124" s="1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>
      <c r="A125" s="9"/>
      <c r="B125" s="9"/>
      <c r="C125" s="14"/>
      <c r="D125" s="14"/>
      <c r="E125" s="14"/>
      <c r="F125" s="14"/>
      <c r="G125" s="14"/>
      <c r="H125" s="1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>
      <c r="A126" s="9"/>
      <c r="B126" s="9"/>
      <c r="C126" s="14"/>
      <c r="D126" s="14"/>
      <c r="E126" s="14"/>
      <c r="F126" s="14"/>
      <c r="G126" s="14"/>
      <c r="H126" s="1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>
      <c r="A127" s="9"/>
      <c r="B127" s="9"/>
      <c r="C127" s="14"/>
      <c r="D127" s="14"/>
      <c r="E127" s="14"/>
      <c r="F127" s="14"/>
      <c r="G127" s="14"/>
      <c r="H127" s="1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>
      <c r="A128" s="9"/>
      <c r="B128" s="9"/>
      <c r="C128" s="14"/>
      <c r="D128" s="14"/>
      <c r="E128" s="14"/>
      <c r="F128" s="14"/>
      <c r="G128" s="14"/>
      <c r="H128" s="1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>
      <c r="A129" s="9"/>
      <c r="B129" s="9"/>
      <c r="C129" s="14"/>
      <c r="D129" s="14"/>
      <c r="E129" s="14"/>
      <c r="F129" s="14"/>
      <c r="G129" s="14"/>
      <c r="H129" s="1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>
      <c r="A130" s="9"/>
      <c r="B130" s="9"/>
      <c r="C130" s="14"/>
      <c r="D130" s="14"/>
      <c r="E130" s="14"/>
      <c r="F130" s="14"/>
      <c r="G130" s="14"/>
      <c r="H130" s="15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>
      <c r="A131" s="9"/>
      <c r="B131" s="9"/>
      <c r="C131" s="14"/>
      <c r="D131" s="14"/>
      <c r="E131" s="14"/>
      <c r="F131" s="14"/>
      <c r="G131" s="14"/>
      <c r="H131" s="15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>
      <c r="A132" s="9"/>
      <c r="B132" s="9"/>
      <c r="C132" s="14"/>
      <c r="D132" s="14"/>
      <c r="E132" s="14"/>
      <c r="F132" s="14"/>
      <c r="G132" s="14"/>
      <c r="H132" s="15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>
      <c r="A133" s="9"/>
      <c r="B133" s="9"/>
      <c r="C133" s="14"/>
      <c r="D133" s="14"/>
      <c r="E133" s="14"/>
      <c r="F133" s="14"/>
      <c r="G133" s="14"/>
      <c r="H133" s="15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>
      <c r="A134" s="9"/>
      <c r="B134" s="9"/>
      <c r="C134" s="14"/>
      <c r="D134" s="14"/>
      <c r="E134" s="14"/>
      <c r="F134" s="14"/>
      <c r="G134" s="14"/>
      <c r="H134" s="15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>
      <c r="A135" s="9"/>
      <c r="B135" s="9"/>
      <c r="C135" s="14"/>
      <c r="D135" s="14"/>
      <c r="E135" s="14"/>
      <c r="F135" s="14"/>
      <c r="G135" s="14"/>
      <c r="H135" s="15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>
      <c r="A136" s="9"/>
      <c r="B136" s="9"/>
      <c r="C136" s="14"/>
      <c r="D136" s="14"/>
      <c r="E136" s="14"/>
      <c r="F136" s="14"/>
      <c r="G136" s="14"/>
      <c r="H136" s="1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>
      <c r="A137" s="9"/>
      <c r="B137" s="9"/>
      <c r="C137" s="14"/>
      <c r="D137" s="14"/>
      <c r="E137" s="14"/>
      <c r="F137" s="14"/>
      <c r="G137" s="14"/>
      <c r="H137" s="15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>
      <c r="A138" s="9"/>
      <c r="B138" s="9"/>
      <c r="C138" s="14"/>
      <c r="D138" s="14"/>
      <c r="E138" s="14"/>
      <c r="F138" s="14"/>
      <c r="G138" s="14"/>
      <c r="H138" s="15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>
      <c r="A139" s="9"/>
      <c r="B139" s="9"/>
      <c r="C139" s="14"/>
      <c r="D139" s="14"/>
      <c r="E139" s="14"/>
      <c r="F139" s="14"/>
      <c r="G139" s="14"/>
      <c r="H139" s="15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>
      <c r="A140" s="9"/>
      <c r="B140" s="9"/>
      <c r="C140" s="14"/>
      <c r="D140" s="14"/>
      <c r="E140" s="14"/>
      <c r="F140" s="14"/>
      <c r="G140" s="14"/>
      <c r="H140" s="15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>
      <c r="A141" s="9"/>
      <c r="B141" s="9"/>
      <c r="C141" s="14"/>
      <c r="D141" s="14"/>
      <c r="E141" s="14"/>
      <c r="F141" s="14"/>
      <c r="G141" s="14"/>
      <c r="H141" s="15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>
      <c r="A142" s="9"/>
      <c r="B142" s="9"/>
      <c r="C142" s="14"/>
      <c r="D142" s="14"/>
      <c r="E142" s="14"/>
      <c r="F142" s="14"/>
      <c r="G142" s="14"/>
      <c r="H142" s="15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>
      <c r="A143" s="9"/>
      <c r="B143" s="9"/>
      <c r="C143" s="14"/>
      <c r="D143" s="14"/>
      <c r="E143" s="14"/>
      <c r="F143" s="14"/>
      <c r="G143" s="14"/>
      <c r="H143" s="15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>
      <c r="A144" s="9"/>
      <c r="B144" s="9"/>
      <c r="C144" s="14"/>
      <c r="D144" s="14"/>
      <c r="E144" s="14"/>
      <c r="F144" s="14"/>
      <c r="G144" s="14"/>
      <c r="H144" s="15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>
      <c r="A145" s="9"/>
      <c r="B145" s="9"/>
      <c r="C145" s="14"/>
      <c r="D145" s="14"/>
      <c r="E145" s="14"/>
      <c r="F145" s="14"/>
      <c r="G145" s="14"/>
      <c r="H145" s="15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>
      <c r="A146" s="9"/>
      <c r="B146" s="9"/>
      <c r="C146" s="14"/>
      <c r="D146" s="14"/>
      <c r="E146" s="14"/>
      <c r="F146" s="14"/>
      <c r="G146" s="14"/>
      <c r="H146" s="15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>
      <c r="A147" s="9"/>
      <c r="B147" s="9"/>
      <c r="C147" s="14"/>
      <c r="D147" s="14"/>
      <c r="E147" s="14"/>
      <c r="F147" s="14"/>
      <c r="G147" s="14"/>
      <c r="H147" s="15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>
      <c r="A148" s="9"/>
      <c r="B148" s="9"/>
      <c r="C148" s="14"/>
      <c r="D148" s="14"/>
      <c r="E148" s="14"/>
      <c r="F148" s="14"/>
      <c r="G148" s="14"/>
      <c r="H148" s="15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>
      <c r="A149" s="9"/>
      <c r="B149" s="9"/>
      <c r="C149" s="14"/>
      <c r="D149" s="14"/>
      <c r="E149" s="14"/>
      <c r="F149" s="14"/>
      <c r="G149" s="14"/>
      <c r="H149" s="15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>
      <c r="A150" s="9"/>
      <c r="B150" s="9"/>
      <c r="C150" s="14"/>
      <c r="D150" s="14"/>
      <c r="E150" s="14"/>
      <c r="F150" s="14"/>
      <c r="G150" s="14"/>
      <c r="H150" s="15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>
      <c r="A151" s="9"/>
      <c r="B151" s="9"/>
      <c r="C151" s="14"/>
      <c r="D151" s="14"/>
      <c r="E151" s="14"/>
      <c r="F151" s="14"/>
      <c r="G151" s="14"/>
      <c r="H151" s="15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>
      <c r="A152" s="9"/>
      <c r="B152" s="9"/>
      <c r="C152" s="14"/>
      <c r="D152" s="14"/>
      <c r="E152" s="14"/>
      <c r="F152" s="14"/>
      <c r="G152" s="14"/>
      <c r="H152" s="15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>
      <c r="A153" s="9"/>
      <c r="B153" s="9"/>
      <c r="C153" s="14"/>
      <c r="D153" s="14"/>
      <c r="E153" s="14"/>
      <c r="F153" s="14"/>
      <c r="G153" s="14"/>
      <c r="H153" s="15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>
      <c r="A154" s="9"/>
      <c r="B154" s="9"/>
      <c r="C154" s="14"/>
      <c r="D154" s="14"/>
      <c r="E154" s="14"/>
      <c r="F154" s="14"/>
      <c r="G154" s="14"/>
      <c r="H154" s="15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>
      <c r="A155" s="9"/>
      <c r="B155" s="9"/>
      <c r="C155" s="14"/>
      <c r="D155" s="14"/>
      <c r="E155" s="14"/>
      <c r="F155" s="14"/>
      <c r="G155" s="14"/>
      <c r="H155" s="15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>
      <c r="A156" s="9"/>
      <c r="B156" s="9"/>
      <c r="C156" s="14"/>
      <c r="D156" s="14"/>
      <c r="E156" s="14"/>
      <c r="F156" s="14"/>
      <c r="G156" s="14"/>
      <c r="H156" s="15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>
      <c r="A157" s="9"/>
      <c r="B157" s="9"/>
      <c r="C157" s="14"/>
      <c r="D157" s="14"/>
      <c r="E157" s="14"/>
      <c r="F157" s="14"/>
      <c r="G157" s="14"/>
      <c r="H157" s="15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>
      <c r="A158" s="9"/>
      <c r="B158" s="9"/>
      <c r="C158" s="14"/>
      <c r="D158" s="14"/>
      <c r="E158" s="14"/>
      <c r="F158" s="14"/>
      <c r="G158" s="14"/>
      <c r="H158" s="15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>
      <c r="A159" s="9"/>
      <c r="B159" s="9"/>
      <c r="C159" s="14"/>
      <c r="D159" s="14"/>
      <c r="E159" s="14"/>
      <c r="F159" s="14"/>
      <c r="G159" s="14"/>
      <c r="H159" s="15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>
      <c r="A160" s="9"/>
      <c r="B160" s="9"/>
      <c r="C160" s="14"/>
      <c r="D160" s="14"/>
      <c r="E160" s="14"/>
      <c r="F160" s="14"/>
      <c r="G160" s="14"/>
      <c r="H160" s="15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>
      <c r="A161" s="9"/>
      <c r="B161" s="9"/>
      <c r="C161" s="14"/>
      <c r="D161" s="14"/>
      <c r="E161" s="14"/>
      <c r="F161" s="14"/>
      <c r="G161" s="14"/>
      <c r="H161" s="15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>
      <c r="A162" s="9"/>
      <c r="B162" s="9"/>
      <c r="C162" s="14"/>
      <c r="D162" s="14"/>
      <c r="E162" s="14"/>
      <c r="F162" s="14"/>
      <c r="G162" s="14"/>
      <c r="H162" s="15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>
      <c r="A163" s="9"/>
      <c r="B163" s="9"/>
      <c r="C163" s="14"/>
      <c r="D163" s="14"/>
      <c r="E163" s="14"/>
      <c r="F163" s="14"/>
      <c r="G163" s="14"/>
      <c r="H163" s="15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>
      <c r="A164" s="9"/>
      <c r="B164" s="9"/>
      <c r="C164" s="14"/>
      <c r="D164" s="14"/>
      <c r="E164" s="14"/>
      <c r="F164" s="14"/>
      <c r="G164" s="14"/>
      <c r="H164" s="15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>
      <c r="A165" s="9"/>
      <c r="B165" s="9"/>
      <c r="C165" s="14"/>
      <c r="D165" s="14"/>
      <c r="E165" s="14"/>
      <c r="F165" s="14"/>
      <c r="G165" s="14"/>
      <c r="H165" s="15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>
      <c r="A166" s="9"/>
      <c r="B166" s="9"/>
      <c r="C166" s="14"/>
      <c r="D166" s="14"/>
      <c r="E166" s="14"/>
      <c r="F166" s="14"/>
      <c r="G166" s="14"/>
      <c r="H166" s="15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>
      <c r="A167" s="9"/>
      <c r="B167" s="9"/>
      <c r="C167" s="14"/>
      <c r="D167" s="14"/>
      <c r="E167" s="14"/>
      <c r="F167" s="14"/>
      <c r="G167" s="14"/>
      <c r="H167" s="15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>
      <c r="A168" s="9"/>
      <c r="B168" s="9"/>
      <c r="C168" s="14"/>
      <c r="D168" s="14"/>
      <c r="E168" s="14"/>
      <c r="F168" s="14"/>
      <c r="G168" s="14"/>
      <c r="H168" s="1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>
      <c r="A169" s="9"/>
      <c r="B169" s="9"/>
      <c r="C169" s="14"/>
      <c r="D169" s="14"/>
      <c r="E169" s="14"/>
      <c r="F169" s="14"/>
      <c r="G169" s="14"/>
      <c r="H169" s="1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>
      <c r="A170" s="9"/>
      <c r="B170" s="9"/>
      <c r="C170" s="14"/>
      <c r="D170" s="14"/>
      <c r="E170" s="14"/>
      <c r="F170" s="14"/>
      <c r="G170" s="14"/>
      <c r="H170" s="15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>
      <c r="A171" s="9"/>
      <c r="B171" s="9"/>
      <c r="C171" s="14"/>
      <c r="D171" s="14"/>
      <c r="E171" s="14"/>
      <c r="F171" s="14"/>
      <c r="G171" s="14"/>
      <c r="H171" s="15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>
      <c r="A172" s="9"/>
      <c r="B172" s="9"/>
      <c r="C172" s="14"/>
      <c r="D172" s="14"/>
      <c r="E172" s="14"/>
      <c r="F172" s="14"/>
      <c r="G172" s="14"/>
      <c r="H172" s="15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>
      <c r="A173" s="9"/>
      <c r="B173" s="9"/>
      <c r="C173" s="14"/>
      <c r="D173" s="14"/>
      <c r="E173" s="14"/>
      <c r="F173" s="14"/>
      <c r="G173" s="14"/>
      <c r="H173" s="15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>
      <c r="A174" s="9"/>
      <c r="B174" s="9"/>
      <c r="C174" s="14"/>
      <c r="D174" s="14"/>
      <c r="E174" s="14"/>
      <c r="F174" s="14"/>
      <c r="G174" s="14"/>
      <c r="H174" s="15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>
      <c r="A175" s="9"/>
      <c r="B175" s="9"/>
      <c r="C175" s="14"/>
      <c r="D175" s="14"/>
      <c r="E175" s="14"/>
      <c r="F175" s="14"/>
      <c r="G175" s="14"/>
      <c r="H175" s="15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>
      <c r="A176" s="9"/>
      <c r="B176" s="9"/>
      <c r="C176" s="14"/>
      <c r="D176" s="14"/>
      <c r="E176" s="14"/>
      <c r="F176" s="14"/>
      <c r="G176" s="14"/>
      <c r="H176" s="15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>
      <c r="A177" s="9"/>
      <c r="B177" s="9"/>
      <c r="C177" s="14"/>
      <c r="D177" s="14"/>
      <c r="E177" s="14"/>
      <c r="F177" s="14"/>
      <c r="G177" s="14"/>
      <c r="H177" s="15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>
      <c r="A178" s="9"/>
      <c r="B178" s="9"/>
      <c r="C178" s="14"/>
      <c r="D178" s="14"/>
      <c r="E178" s="14"/>
      <c r="F178" s="14"/>
      <c r="G178" s="14"/>
      <c r="H178" s="15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>
      <c r="A179" s="9"/>
      <c r="B179" s="9"/>
      <c r="C179" s="14"/>
      <c r="D179" s="14"/>
      <c r="E179" s="14"/>
      <c r="F179" s="14"/>
      <c r="G179" s="14"/>
      <c r="H179" s="15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>
      <c r="A180" s="9"/>
      <c r="B180" s="9"/>
      <c r="C180" s="14"/>
      <c r="D180" s="14"/>
      <c r="E180" s="14"/>
      <c r="F180" s="14"/>
      <c r="G180" s="14"/>
      <c r="H180" s="15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>
      <c r="A181" s="9"/>
      <c r="B181" s="9"/>
      <c r="C181" s="14"/>
      <c r="D181" s="14"/>
      <c r="E181" s="14"/>
      <c r="F181" s="14"/>
      <c r="G181" s="14"/>
      <c r="H181" s="15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>
      <c r="A182" s="9"/>
      <c r="B182" s="9"/>
      <c r="C182" s="14"/>
      <c r="D182" s="14"/>
      <c r="E182" s="14"/>
      <c r="F182" s="14"/>
      <c r="G182" s="14"/>
      <c r="H182" s="15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>
      <c r="A183" s="9"/>
      <c r="B183" s="9"/>
      <c r="C183" s="14"/>
      <c r="D183" s="14"/>
      <c r="E183" s="14"/>
      <c r="F183" s="14"/>
      <c r="G183" s="14"/>
      <c r="H183" s="15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>
      <c r="A184" s="9"/>
      <c r="B184" s="9"/>
      <c r="C184" s="14"/>
      <c r="D184" s="14"/>
      <c r="E184" s="14"/>
      <c r="F184" s="14"/>
      <c r="G184" s="14"/>
      <c r="H184" s="1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>
      <c r="A185" s="9"/>
      <c r="B185" s="9"/>
      <c r="C185" s="14"/>
      <c r="D185" s="14"/>
      <c r="E185" s="14"/>
      <c r="F185" s="14"/>
      <c r="G185" s="14"/>
      <c r="H185" s="1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>
      <c r="A186" s="9"/>
      <c r="B186" s="9"/>
      <c r="C186" s="14"/>
      <c r="D186" s="14"/>
      <c r="E186" s="14"/>
      <c r="F186" s="14"/>
      <c r="G186" s="14"/>
      <c r="H186" s="15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>
      <c r="A187" s="9"/>
      <c r="B187" s="9"/>
      <c r="C187" s="14"/>
      <c r="D187" s="14"/>
      <c r="E187" s="14"/>
      <c r="F187" s="14"/>
      <c r="G187" s="14"/>
      <c r="H187" s="15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>
      <c r="A188" s="9"/>
      <c r="B188" s="9"/>
      <c r="C188" s="14"/>
      <c r="D188" s="14"/>
      <c r="E188" s="14"/>
      <c r="F188" s="14"/>
      <c r="G188" s="14"/>
      <c r="H188" s="15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>
      <c r="A189" s="9"/>
      <c r="B189" s="9"/>
      <c r="C189" s="14"/>
      <c r="D189" s="14"/>
      <c r="E189" s="14"/>
      <c r="F189" s="14"/>
      <c r="G189" s="14"/>
      <c r="H189" s="15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>
      <c r="A190" s="9"/>
      <c r="B190" s="9"/>
      <c r="C190" s="14"/>
      <c r="D190" s="14"/>
      <c r="E190" s="14"/>
      <c r="F190" s="14"/>
      <c r="G190" s="14"/>
      <c r="H190" s="15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>
      <c r="A191" s="9"/>
      <c r="B191" s="9"/>
      <c r="C191" s="14"/>
      <c r="D191" s="14"/>
      <c r="E191" s="14"/>
      <c r="F191" s="14"/>
      <c r="G191" s="14"/>
      <c r="H191" s="15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>
      <c r="A192" s="9"/>
      <c r="B192" s="9"/>
      <c r="C192" s="14"/>
      <c r="D192" s="14"/>
      <c r="E192" s="14"/>
      <c r="F192" s="14"/>
      <c r="G192" s="14"/>
      <c r="H192" s="15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>
      <c r="A193" s="9"/>
      <c r="B193" s="9"/>
      <c r="C193" s="14"/>
      <c r="D193" s="14"/>
      <c r="E193" s="14"/>
      <c r="F193" s="14"/>
      <c r="G193" s="14"/>
      <c r="H193" s="15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>
      <c r="A194" s="9"/>
      <c r="B194" s="9"/>
      <c r="C194" s="14"/>
      <c r="D194" s="14"/>
      <c r="E194" s="14"/>
      <c r="F194" s="14"/>
      <c r="G194" s="14"/>
      <c r="H194" s="15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>
      <c r="A195" s="9"/>
      <c r="B195" s="9"/>
      <c r="C195" s="14"/>
      <c r="D195" s="14"/>
      <c r="E195" s="14"/>
      <c r="F195" s="14"/>
      <c r="G195" s="14"/>
      <c r="H195" s="15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>
      <c r="A196" s="9"/>
      <c r="B196" s="9"/>
      <c r="C196" s="14"/>
      <c r="D196" s="14"/>
      <c r="E196" s="14"/>
      <c r="F196" s="14"/>
      <c r="G196" s="14"/>
      <c r="H196" s="15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>
      <c r="A197" s="9"/>
      <c r="B197" s="9"/>
      <c r="C197" s="14"/>
      <c r="D197" s="14"/>
      <c r="E197" s="14"/>
      <c r="F197" s="14"/>
      <c r="G197" s="14"/>
      <c r="H197" s="15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>
      <c r="A198" s="9"/>
      <c r="B198" s="9"/>
      <c r="C198" s="14"/>
      <c r="D198" s="14"/>
      <c r="E198" s="14"/>
      <c r="F198" s="14"/>
      <c r="G198" s="14"/>
      <c r="H198" s="15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>
      <c r="A199" s="9"/>
      <c r="B199" s="9"/>
      <c r="C199" s="14"/>
      <c r="D199" s="14"/>
      <c r="E199" s="14"/>
      <c r="F199" s="14"/>
      <c r="G199" s="14"/>
      <c r="H199" s="15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>
      <c r="A200" s="9"/>
      <c r="B200" s="9"/>
      <c r="C200" s="14"/>
      <c r="D200" s="14"/>
      <c r="E200" s="14"/>
      <c r="F200" s="14"/>
      <c r="G200" s="14"/>
      <c r="H200" s="15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>
      <c r="A201" s="9"/>
      <c r="B201" s="9"/>
      <c r="C201" s="14"/>
      <c r="D201" s="14"/>
      <c r="E201" s="14"/>
      <c r="F201" s="14"/>
      <c r="G201" s="14"/>
      <c r="H201" s="15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>
      <c r="A202" s="9"/>
      <c r="B202" s="9"/>
      <c r="C202" s="14"/>
      <c r="D202" s="14"/>
      <c r="E202" s="14"/>
      <c r="F202" s="14"/>
      <c r="G202" s="14"/>
      <c r="H202" s="1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>
      <c r="A203" s="9"/>
      <c r="B203" s="9"/>
      <c r="C203" s="14"/>
      <c r="D203" s="14"/>
      <c r="E203" s="14"/>
      <c r="F203" s="14"/>
      <c r="G203" s="14"/>
      <c r="H203" s="15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>
      <c r="A204" s="9"/>
      <c r="B204" s="9"/>
      <c r="C204" s="14"/>
      <c r="D204" s="14"/>
      <c r="E204" s="14"/>
      <c r="F204" s="14"/>
      <c r="G204" s="14"/>
      <c r="H204" s="15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>
      <c r="A205" s="9"/>
      <c r="B205" s="9"/>
      <c r="C205" s="14"/>
      <c r="D205" s="14"/>
      <c r="E205" s="14"/>
      <c r="F205" s="14"/>
      <c r="G205" s="14"/>
      <c r="H205" s="15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>
      <c r="A206" s="9"/>
      <c r="B206" s="9"/>
      <c r="C206" s="14"/>
      <c r="D206" s="14"/>
      <c r="E206" s="14"/>
      <c r="F206" s="14"/>
      <c r="G206" s="14"/>
      <c r="H206" s="15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>
      <c r="A207" s="9"/>
      <c r="B207" s="9"/>
      <c r="C207" s="14"/>
      <c r="D207" s="14"/>
      <c r="E207" s="14"/>
      <c r="F207" s="14"/>
      <c r="G207" s="14"/>
      <c r="H207" s="15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>
      <c r="A208" s="9"/>
      <c r="B208" s="9"/>
      <c r="C208" s="14"/>
      <c r="D208" s="14"/>
      <c r="E208" s="14"/>
      <c r="F208" s="14"/>
      <c r="G208" s="14"/>
      <c r="H208" s="15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>
      <c r="A209" s="9"/>
      <c r="B209" s="9"/>
      <c r="C209" s="14"/>
      <c r="D209" s="14"/>
      <c r="E209" s="14"/>
      <c r="F209" s="14"/>
      <c r="G209" s="14"/>
      <c r="H209" s="15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>
      <c r="A210" s="9"/>
      <c r="B210" s="9"/>
      <c r="C210" s="14"/>
      <c r="D210" s="14"/>
      <c r="E210" s="14"/>
      <c r="F210" s="14"/>
      <c r="G210" s="14"/>
      <c r="H210" s="15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>
      <c r="A211" s="9"/>
      <c r="B211" s="9"/>
      <c r="C211" s="14"/>
      <c r="D211" s="14"/>
      <c r="E211" s="14"/>
      <c r="F211" s="14"/>
      <c r="G211" s="14"/>
      <c r="H211" s="15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>
      <c r="A212" s="9"/>
      <c r="B212" s="9"/>
      <c r="C212" s="14"/>
      <c r="D212" s="14"/>
      <c r="E212" s="14"/>
      <c r="F212" s="14"/>
      <c r="G212" s="14"/>
      <c r="H212" s="15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>
      <c r="A213" s="9"/>
      <c r="B213" s="9"/>
      <c r="C213" s="14"/>
      <c r="D213" s="14"/>
      <c r="E213" s="14"/>
      <c r="F213" s="14"/>
      <c r="G213" s="14"/>
      <c r="H213" s="15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>
      <c r="A214" s="9"/>
      <c r="B214" s="9"/>
      <c r="C214" s="14"/>
      <c r="D214" s="14"/>
      <c r="E214" s="14"/>
      <c r="F214" s="14"/>
      <c r="G214" s="14"/>
      <c r="H214" s="15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>
      <c r="A215" s="9"/>
      <c r="B215" s="9"/>
      <c r="C215" s="14"/>
      <c r="D215" s="14"/>
      <c r="E215" s="14"/>
      <c r="F215" s="14"/>
      <c r="G215" s="14"/>
      <c r="H215" s="15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>
      <c r="A216" s="9"/>
      <c r="B216" s="9"/>
      <c r="C216" s="14"/>
      <c r="D216" s="14"/>
      <c r="E216" s="14"/>
      <c r="F216" s="14"/>
      <c r="G216" s="14"/>
      <c r="H216" s="15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>
      <c r="A217" s="9"/>
      <c r="B217" s="9"/>
      <c r="C217" s="14"/>
      <c r="D217" s="14"/>
      <c r="E217" s="14"/>
      <c r="F217" s="14"/>
      <c r="G217" s="14"/>
      <c r="H217" s="15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>
      <c r="A218" s="9"/>
      <c r="B218" s="9"/>
      <c r="C218" s="14"/>
      <c r="D218" s="14"/>
      <c r="E218" s="14"/>
      <c r="F218" s="14"/>
      <c r="G218" s="14"/>
      <c r="H218" s="15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>
      <c r="A219" s="9"/>
      <c r="B219" s="9"/>
      <c r="C219" s="14"/>
      <c r="D219" s="14"/>
      <c r="E219" s="14"/>
      <c r="F219" s="14"/>
      <c r="G219" s="14"/>
      <c r="H219" s="15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>
      <c r="A220" s="9"/>
      <c r="B220" s="9"/>
      <c r="C220" s="14"/>
      <c r="D220" s="14"/>
      <c r="E220" s="14"/>
      <c r="F220" s="14"/>
      <c r="G220" s="14"/>
      <c r="H220" s="15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>
      <c r="A221" s="9"/>
      <c r="B221" s="9"/>
      <c r="C221" s="14"/>
      <c r="D221" s="14"/>
      <c r="E221" s="14"/>
      <c r="F221" s="14"/>
      <c r="G221" s="14"/>
      <c r="H221" s="15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>
      <c r="A222" s="9"/>
      <c r="B222" s="9"/>
      <c r="C222" s="14"/>
      <c r="D222" s="14"/>
      <c r="E222" s="14"/>
      <c r="F222" s="14"/>
      <c r="G222" s="14"/>
      <c r="H222" s="15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>
      <c r="A223" s="9"/>
      <c r="B223" s="9"/>
      <c r="C223" s="14"/>
      <c r="D223" s="14"/>
      <c r="E223" s="14"/>
      <c r="F223" s="14"/>
      <c r="G223" s="14"/>
      <c r="H223" s="15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>
      <c r="A224" s="9"/>
      <c r="B224" s="9"/>
      <c r="C224" s="14"/>
      <c r="D224" s="14"/>
      <c r="E224" s="14"/>
      <c r="F224" s="14"/>
      <c r="G224" s="14"/>
      <c r="H224" s="15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>
      <c r="A225" s="9"/>
      <c r="B225" s="9"/>
      <c r="C225" s="14"/>
      <c r="D225" s="14"/>
      <c r="E225" s="14"/>
      <c r="F225" s="14"/>
      <c r="G225" s="14"/>
      <c r="H225" s="15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>
      <c r="A226" s="9"/>
      <c r="B226" s="9"/>
      <c r="C226" s="14"/>
      <c r="D226" s="14"/>
      <c r="E226" s="14"/>
      <c r="F226" s="14"/>
      <c r="G226" s="14"/>
      <c r="H226" s="15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>
      <c r="A227" s="9"/>
      <c r="B227" s="9"/>
      <c r="C227" s="14"/>
      <c r="D227" s="14"/>
      <c r="E227" s="14"/>
      <c r="F227" s="14"/>
      <c r="G227" s="14"/>
      <c r="H227" s="15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>
      <c r="A228" s="9"/>
      <c r="B228" s="9"/>
      <c r="C228" s="14"/>
      <c r="D228" s="14"/>
      <c r="E228" s="14"/>
      <c r="F228" s="14"/>
      <c r="G228" s="14"/>
      <c r="H228" s="15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>
      <c r="A229" s="9"/>
      <c r="B229" s="9"/>
      <c r="C229" s="14"/>
      <c r="D229" s="14"/>
      <c r="E229" s="14"/>
      <c r="F229" s="14"/>
      <c r="G229" s="14"/>
      <c r="H229" s="15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>
      <c r="A230" s="9"/>
      <c r="B230" s="9"/>
      <c r="C230" s="14"/>
      <c r="D230" s="14"/>
      <c r="E230" s="14"/>
      <c r="F230" s="14"/>
      <c r="G230" s="14"/>
      <c r="H230" s="15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>
      <c r="A231" s="9"/>
      <c r="B231" s="9"/>
      <c r="C231" s="14"/>
      <c r="D231" s="14"/>
      <c r="E231" s="14"/>
      <c r="F231" s="14"/>
      <c r="G231" s="14"/>
      <c r="H231" s="15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>
      <c r="A232" s="9"/>
      <c r="B232" s="9"/>
      <c r="C232" s="14"/>
      <c r="D232" s="14"/>
      <c r="E232" s="14"/>
      <c r="F232" s="14"/>
      <c r="G232" s="14"/>
      <c r="H232" s="15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>
      <c r="A233" s="9"/>
      <c r="B233" s="9"/>
      <c r="C233" s="14"/>
      <c r="D233" s="14"/>
      <c r="E233" s="14"/>
      <c r="F233" s="14"/>
      <c r="G233" s="14"/>
      <c r="H233" s="15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>
      <c r="A234" s="9"/>
      <c r="B234" s="9"/>
      <c r="C234" s="14"/>
      <c r="D234" s="14"/>
      <c r="E234" s="14"/>
      <c r="F234" s="14"/>
      <c r="G234" s="14"/>
      <c r="H234" s="15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>
      <c r="A235" s="9"/>
      <c r="B235" s="9"/>
      <c r="C235" s="14"/>
      <c r="D235" s="14"/>
      <c r="E235" s="14"/>
      <c r="F235" s="14"/>
      <c r="G235" s="14"/>
      <c r="H235" s="15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>
      <c r="A236" s="9"/>
      <c r="B236" s="9"/>
      <c r="C236" s="14"/>
      <c r="D236" s="14"/>
      <c r="E236" s="14"/>
      <c r="F236" s="14"/>
      <c r="G236" s="14"/>
      <c r="H236" s="15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>
      <c r="A237" s="9"/>
      <c r="B237" s="9"/>
      <c r="C237" s="14"/>
      <c r="D237" s="14"/>
      <c r="E237" s="14"/>
      <c r="F237" s="14"/>
      <c r="G237" s="14"/>
      <c r="H237" s="15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>
      <c r="A238" s="9"/>
      <c r="B238" s="9"/>
      <c r="C238" s="14"/>
      <c r="D238" s="14"/>
      <c r="E238" s="14"/>
      <c r="F238" s="14"/>
      <c r="G238" s="14"/>
      <c r="H238" s="15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>
      <c r="A239" s="9"/>
      <c r="B239" s="9"/>
      <c r="C239" s="14"/>
      <c r="D239" s="14"/>
      <c r="E239" s="14"/>
      <c r="F239" s="14"/>
      <c r="G239" s="14"/>
      <c r="H239" s="15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>
      <c r="A240" s="9"/>
      <c r="B240" s="9"/>
      <c r="C240" s="14"/>
      <c r="D240" s="14"/>
      <c r="E240" s="14"/>
      <c r="F240" s="14"/>
      <c r="G240" s="14"/>
      <c r="H240" s="15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>
      <c r="A241" s="9"/>
      <c r="B241" s="9"/>
      <c r="C241" s="14"/>
      <c r="D241" s="14"/>
      <c r="E241" s="14"/>
      <c r="F241" s="14"/>
      <c r="G241" s="14"/>
      <c r="H241" s="15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>
      <c r="A242" s="9"/>
      <c r="B242" s="9"/>
      <c r="C242" s="14"/>
      <c r="D242" s="14"/>
      <c r="E242" s="14"/>
      <c r="F242" s="14"/>
      <c r="G242" s="14"/>
      <c r="H242" s="15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>
      <c r="A243" s="9"/>
      <c r="B243" s="9"/>
      <c r="C243" s="14"/>
      <c r="D243" s="14"/>
      <c r="E243" s="14"/>
      <c r="F243" s="14"/>
      <c r="G243" s="14"/>
      <c r="H243" s="15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>
      <c r="A244" s="9"/>
      <c r="B244" s="9"/>
      <c r="C244" s="14"/>
      <c r="D244" s="14"/>
      <c r="E244" s="14"/>
      <c r="F244" s="14"/>
      <c r="G244" s="14"/>
      <c r="H244" s="15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>
      <c r="A245" s="9"/>
      <c r="B245" s="9"/>
      <c r="C245" s="14"/>
      <c r="D245" s="14"/>
      <c r="E245" s="14"/>
      <c r="F245" s="14"/>
      <c r="G245" s="14"/>
      <c r="H245" s="15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>
      <c r="A246" s="9"/>
      <c r="B246" s="9"/>
      <c r="C246" s="14"/>
      <c r="D246" s="14"/>
      <c r="E246" s="14"/>
      <c r="F246" s="14"/>
      <c r="G246" s="14"/>
      <c r="H246" s="15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>
      <c r="A247" s="9"/>
      <c r="B247" s="9"/>
      <c r="C247" s="14"/>
      <c r="D247" s="14"/>
      <c r="E247" s="14"/>
      <c r="F247" s="14"/>
      <c r="G247" s="14"/>
      <c r="H247" s="15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>
      <c r="A248" s="9"/>
      <c r="B248" s="9"/>
      <c r="C248" s="14"/>
      <c r="D248" s="14"/>
      <c r="E248" s="14"/>
      <c r="F248" s="14"/>
      <c r="G248" s="14"/>
      <c r="H248" s="15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>
      <c r="A249" s="9"/>
      <c r="B249" s="9"/>
      <c r="C249" s="14"/>
      <c r="D249" s="14"/>
      <c r="E249" s="14"/>
      <c r="F249" s="14"/>
      <c r="G249" s="14"/>
      <c r="H249" s="15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>
      <c r="A250" s="9"/>
      <c r="B250" s="9"/>
      <c r="C250" s="14"/>
      <c r="D250" s="14"/>
      <c r="E250" s="14"/>
      <c r="F250" s="14"/>
      <c r="G250" s="14"/>
      <c r="H250" s="15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>
      <c r="A251" s="9"/>
      <c r="B251" s="9"/>
      <c r="C251" s="14"/>
      <c r="D251" s="14"/>
      <c r="E251" s="14"/>
      <c r="F251" s="14"/>
      <c r="G251" s="14"/>
      <c r="H251" s="15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>
      <c r="A252" s="9"/>
      <c r="B252" s="9"/>
      <c r="C252" s="14"/>
      <c r="D252" s="14"/>
      <c r="E252" s="14"/>
      <c r="F252" s="14"/>
      <c r="G252" s="14"/>
      <c r="H252" s="15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>
      <c r="A253" s="9"/>
      <c r="B253" s="9"/>
      <c r="C253" s="14"/>
      <c r="D253" s="14"/>
      <c r="E253" s="14"/>
      <c r="F253" s="14"/>
      <c r="G253" s="14"/>
      <c r="H253" s="15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>
      <c r="A254" s="9"/>
      <c r="B254" s="9"/>
      <c r="C254" s="14"/>
      <c r="D254" s="14"/>
      <c r="E254" s="14"/>
      <c r="F254" s="14"/>
      <c r="G254" s="14"/>
      <c r="H254" s="15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>
      <c r="A255" s="9"/>
      <c r="B255" s="9"/>
      <c r="C255" s="14"/>
      <c r="D255" s="14"/>
      <c r="E255" s="14"/>
      <c r="F255" s="14"/>
      <c r="G255" s="14"/>
      <c r="H255" s="15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>
      <c r="A256" s="9"/>
      <c r="B256" s="9"/>
      <c r="C256" s="14"/>
      <c r="D256" s="14"/>
      <c r="E256" s="14"/>
      <c r="F256" s="14"/>
      <c r="G256" s="14"/>
      <c r="H256" s="15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>
      <c r="A257" s="9"/>
      <c r="B257" s="9"/>
      <c r="C257" s="14"/>
      <c r="D257" s="14"/>
      <c r="E257" s="14"/>
      <c r="F257" s="14"/>
      <c r="G257" s="14"/>
      <c r="H257" s="15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>
      <c r="A258" s="9"/>
      <c r="B258" s="9"/>
      <c r="C258" s="14"/>
      <c r="D258" s="14"/>
      <c r="E258" s="14"/>
      <c r="F258" s="14"/>
      <c r="G258" s="14"/>
      <c r="H258" s="15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>
      <c r="A259" s="9"/>
      <c r="B259" s="9"/>
      <c r="C259" s="14"/>
      <c r="D259" s="14"/>
      <c r="E259" s="14"/>
      <c r="F259" s="14"/>
      <c r="G259" s="14"/>
      <c r="H259" s="15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>
      <c r="A260" s="9"/>
      <c r="B260" s="9"/>
      <c r="C260" s="14"/>
      <c r="D260" s="14"/>
      <c r="E260" s="14"/>
      <c r="F260" s="14"/>
      <c r="G260" s="14"/>
      <c r="H260" s="15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>
      <c r="A261" s="9"/>
      <c r="B261" s="9"/>
      <c r="C261" s="14"/>
      <c r="D261" s="14"/>
      <c r="E261" s="14"/>
      <c r="F261" s="14"/>
      <c r="G261" s="14"/>
      <c r="H261" s="15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>
      <c r="A262" s="9"/>
      <c r="B262" s="9"/>
      <c r="C262" s="14"/>
      <c r="D262" s="14"/>
      <c r="E262" s="14"/>
      <c r="F262" s="14"/>
      <c r="G262" s="14"/>
      <c r="H262" s="15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>
      <c r="A263" s="9"/>
      <c r="B263" s="9"/>
      <c r="C263" s="14"/>
      <c r="D263" s="14"/>
      <c r="E263" s="14"/>
      <c r="F263" s="14"/>
      <c r="G263" s="14"/>
      <c r="H263" s="15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>
      <c r="A264" s="9"/>
      <c r="B264" s="9"/>
      <c r="C264" s="14"/>
      <c r="D264" s="14"/>
      <c r="E264" s="14"/>
      <c r="F264" s="14"/>
      <c r="G264" s="14"/>
      <c r="H264" s="15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>
      <c r="A265" s="9"/>
      <c r="B265" s="9"/>
      <c r="C265" s="14"/>
      <c r="D265" s="14"/>
      <c r="E265" s="14"/>
      <c r="F265" s="14"/>
      <c r="G265" s="14"/>
      <c r="H265" s="15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>
      <c r="A266" s="9"/>
      <c r="B266" s="9"/>
      <c r="C266" s="14"/>
      <c r="D266" s="14"/>
      <c r="E266" s="14"/>
      <c r="F266" s="14"/>
      <c r="G266" s="14"/>
      <c r="H266" s="15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>
      <c r="A267" s="9"/>
      <c r="B267" s="9"/>
      <c r="C267" s="14"/>
      <c r="D267" s="14"/>
      <c r="E267" s="14"/>
      <c r="F267" s="14"/>
      <c r="G267" s="14"/>
      <c r="H267" s="15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>
      <c r="A268" s="9"/>
      <c r="B268" s="9"/>
      <c r="C268" s="14"/>
      <c r="D268" s="14"/>
      <c r="E268" s="14"/>
      <c r="F268" s="14"/>
      <c r="G268" s="14"/>
      <c r="H268" s="15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>
      <c r="A269" s="9"/>
      <c r="B269" s="9"/>
      <c r="C269" s="14"/>
      <c r="D269" s="14"/>
      <c r="E269" s="14"/>
      <c r="F269" s="14"/>
      <c r="G269" s="14"/>
      <c r="H269" s="15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>
      <c r="A270" s="9"/>
      <c r="B270" s="9"/>
      <c r="C270" s="14"/>
      <c r="D270" s="14"/>
      <c r="E270" s="14"/>
      <c r="F270" s="14"/>
      <c r="G270" s="14"/>
      <c r="H270" s="15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>
      <c r="A271" s="9"/>
      <c r="B271" s="9"/>
      <c r="C271" s="14"/>
      <c r="D271" s="14"/>
      <c r="E271" s="14"/>
      <c r="F271" s="14"/>
      <c r="G271" s="14"/>
      <c r="H271" s="15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>
      <c r="A272" s="9"/>
      <c r="B272" s="9"/>
      <c r="C272" s="14"/>
      <c r="D272" s="14"/>
      <c r="E272" s="14"/>
      <c r="F272" s="14"/>
      <c r="G272" s="14"/>
      <c r="H272" s="15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>
      <c r="A273" s="9"/>
      <c r="B273" s="9"/>
      <c r="C273" s="14"/>
      <c r="D273" s="14"/>
      <c r="E273" s="14"/>
      <c r="F273" s="14"/>
      <c r="G273" s="14"/>
      <c r="H273" s="15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>
      <c r="A274" s="9"/>
      <c r="B274" s="9"/>
      <c r="C274" s="14"/>
      <c r="D274" s="14"/>
      <c r="E274" s="14"/>
      <c r="F274" s="14"/>
      <c r="G274" s="14"/>
      <c r="H274" s="15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>
      <c r="A275" s="9"/>
      <c r="B275" s="9"/>
      <c r="C275" s="14"/>
      <c r="D275" s="14"/>
      <c r="E275" s="14"/>
      <c r="F275" s="14"/>
      <c r="G275" s="14"/>
      <c r="H275" s="15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>
      <c r="A276" s="9"/>
      <c r="B276" s="9"/>
      <c r="C276" s="14"/>
      <c r="D276" s="14"/>
      <c r="E276" s="14"/>
      <c r="F276" s="14"/>
      <c r="G276" s="14"/>
      <c r="H276" s="15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>
      <c r="A277" s="9"/>
      <c r="B277" s="9"/>
      <c r="C277" s="14"/>
      <c r="D277" s="14"/>
      <c r="E277" s="14"/>
      <c r="F277" s="14"/>
      <c r="G277" s="14"/>
      <c r="H277" s="15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>
      <c r="A278" s="9"/>
      <c r="B278" s="9"/>
      <c r="C278" s="14"/>
      <c r="D278" s="14"/>
      <c r="E278" s="14"/>
      <c r="F278" s="14"/>
      <c r="G278" s="14"/>
      <c r="H278" s="15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>
      <c r="A279" s="9"/>
      <c r="B279" s="9"/>
      <c r="C279" s="14"/>
      <c r="D279" s="14"/>
      <c r="E279" s="14"/>
      <c r="F279" s="14"/>
      <c r="G279" s="14"/>
      <c r="H279" s="15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>
      <c r="A280" s="9"/>
      <c r="B280" s="9"/>
      <c r="C280" s="14"/>
      <c r="D280" s="14"/>
      <c r="E280" s="14"/>
      <c r="F280" s="14"/>
      <c r="G280" s="14"/>
      <c r="H280" s="15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>
      <c r="A281" s="9"/>
      <c r="B281" s="9"/>
      <c r="C281" s="14"/>
      <c r="D281" s="14"/>
      <c r="E281" s="14"/>
      <c r="F281" s="14"/>
      <c r="G281" s="14"/>
      <c r="H281" s="15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>
      <c r="A282" s="9"/>
      <c r="B282" s="9"/>
      <c r="C282" s="14"/>
      <c r="D282" s="14"/>
      <c r="E282" s="14"/>
      <c r="F282" s="14"/>
      <c r="G282" s="14"/>
      <c r="H282" s="15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>
      <c r="A283" s="9"/>
      <c r="B283" s="9"/>
      <c r="C283" s="14"/>
      <c r="D283" s="14"/>
      <c r="E283" s="14"/>
      <c r="F283" s="14"/>
      <c r="G283" s="14"/>
      <c r="H283" s="15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>
      <c r="A284" s="9"/>
      <c r="B284" s="9"/>
      <c r="C284" s="14"/>
      <c r="D284" s="14"/>
      <c r="E284" s="14"/>
      <c r="F284" s="14"/>
      <c r="G284" s="14"/>
      <c r="H284" s="15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>
      <c r="A285" s="9"/>
      <c r="B285" s="9"/>
      <c r="C285" s="14"/>
      <c r="D285" s="14"/>
      <c r="E285" s="14"/>
      <c r="F285" s="14"/>
      <c r="G285" s="14"/>
      <c r="H285" s="15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>
      <c r="A286" s="9"/>
      <c r="B286" s="9"/>
      <c r="C286" s="14"/>
      <c r="D286" s="14"/>
      <c r="E286" s="14"/>
      <c r="F286" s="14"/>
      <c r="G286" s="14"/>
      <c r="H286" s="15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>
      <c r="A287" s="9"/>
      <c r="B287" s="9"/>
      <c r="C287" s="14"/>
      <c r="D287" s="14"/>
      <c r="E287" s="14"/>
      <c r="F287" s="14"/>
      <c r="G287" s="14"/>
      <c r="H287" s="15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>
      <c r="A288" s="9"/>
      <c r="B288" s="9"/>
      <c r="C288" s="14"/>
      <c r="D288" s="14"/>
      <c r="E288" s="14"/>
      <c r="F288" s="14"/>
      <c r="G288" s="14"/>
      <c r="H288" s="15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>
      <c r="A289" s="9"/>
      <c r="B289" s="9"/>
      <c r="C289" s="14"/>
      <c r="D289" s="14"/>
      <c r="E289" s="14"/>
      <c r="F289" s="14"/>
      <c r="G289" s="14"/>
      <c r="H289" s="15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>
      <c r="A290" s="9"/>
      <c r="B290" s="9"/>
      <c r="C290" s="14"/>
      <c r="D290" s="14"/>
      <c r="E290" s="14"/>
      <c r="F290" s="14"/>
      <c r="G290" s="14"/>
      <c r="H290" s="15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>
      <c r="A291" s="9"/>
      <c r="B291" s="9"/>
      <c r="C291" s="14"/>
      <c r="D291" s="14"/>
      <c r="E291" s="14"/>
      <c r="F291" s="14"/>
      <c r="G291" s="14"/>
      <c r="H291" s="15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>
      <c r="A292" s="9"/>
      <c r="B292" s="9"/>
      <c r="C292" s="14"/>
      <c r="D292" s="14"/>
      <c r="E292" s="14"/>
      <c r="F292" s="14"/>
      <c r="G292" s="14"/>
      <c r="H292" s="15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>
      <c r="A293" s="9"/>
      <c r="B293" s="9"/>
      <c r="C293" s="14"/>
      <c r="D293" s="14"/>
      <c r="E293" s="14"/>
      <c r="F293" s="14"/>
      <c r="G293" s="14"/>
      <c r="H293" s="15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>
      <c r="A294" s="9"/>
      <c r="B294" s="9"/>
      <c r="C294" s="14"/>
      <c r="D294" s="14"/>
      <c r="E294" s="14"/>
      <c r="F294" s="14"/>
      <c r="G294" s="14"/>
      <c r="H294" s="15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>
      <c r="A295" s="9"/>
      <c r="B295" s="9"/>
      <c r="C295" s="14"/>
      <c r="D295" s="14"/>
      <c r="E295" s="14"/>
      <c r="F295" s="14"/>
      <c r="G295" s="14"/>
      <c r="H295" s="15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>
      <c r="A296" s="9"/>
      <c r="B296" s="9"/>
      <c r="C296" s="14"/>
      <c r="D296" s="14"/>
      <c r="E296" s="14"/>
      <c r="F296" s="14"/>
      <c r="G296" s="14"/>
      <c r="H296" s="15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>
      <c r="A297" s="9"/>
      <c r="B297" s="9"/>
      <c r="C297" s="14"/>
      <c r="D297" s="14"/>
      <c r="E297" s="14"/>
      <c r="F297" s="14"/>
      <c r="G297" s="14"/>
      <c r="H297" s="15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>
      <c r="A298" s="9"/>
      <c r="B298" s="9"/>
      <c r="C298" s="14"/>
      <c r="D298" s="14"/>
      <c r="E298" s="14"/>
      <c r="F298" s="14"/>
      <c r="G298" s="14"/>
      <c r="H298" s="15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>
      <c r="A299" s="9"/>
      <c r="B299" s="9"/>
      <c r="C299" s="14"/>
      <c r="D299" s="14"/>
      <c r="E299" s="14"/>
      <c r="F299" s="14"/>
      <c r="G299" s="14"/>
      <c r="H299" s="15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>
      <c r="A300" s="9"/>
      <c r="B300" s="9"/>
      <c r="C300" s="14"/>
      <c r="D300" s="14"/>
      <c r="E300" s="14"/>
      <c r="F300" s="14"/>
      <c r="G300" s="14"/>
      <c r="H300" s="15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>
      <c r="A301" s="9"/>
      <c r="B301" s="9"/>
      <c r="C301" s="14"/>
      <c r="D301" s="14"/>
      <c r="E301" s="14"/>
      <c r="F301" s="14"/>
      <c r="G301" s="14"/>
      <c r="H301" s="15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>
      <c r="A302" s="9"/>
      <c r="B302" s="9"/>
      <c r="C302" s="14"/>
      <c r="D302" s="14"/>
      <c r="E302" s="14"/>
      <c r="F302" s="14"/>
      <c r="G302" s="14"/>
      <c r="H302" s="15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>
      <c r="A303" s="9"/>
      <c r="B303" s="9"/>
      <c r="C303" s="14"/>
      <c r="D303" s="14"/>
      <c r="E303" s="14"/>
      <c r="F303" s="14"/>
      <c r="G303" s="14"/>
      <c r="H303" s="15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>
      <c r="A304" s="9"/>
      <c r="B304" s="9"/>
      <c r="C304" s="14"/>
      <c r="D304" s="14"/>
      <c r="E304" s="14"/>
      <c r="F304" s="14"/>
      <c r="G304" s="14"/>
      <c r="H304" s="15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>
      <c r="A305" s="9"/>
      <c r="B305" s="9"/>
      <c r="C305" s="14"/>
      <c r="D305" s="14"/>
      <c r="E305" s="14"/>
      <c r="F305" s="14"/>
      <c r="G305" s="14"/>
      <c r="H305" s="15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>
      <c r="A306" s="9"/>
      <c r="B306" s="9"/>
      <c r="C306" s="14"/>
      <c r="D306" s="14"/>
      <c r="E306" s="14"/>
      <c r="F306" s="14"/>
      <c r="G306" s="14"/>
      <c r="H306" s="15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>
      <c r="A307" s="9"/>
      <c r="B307" s="9"/>
      <c r="C307" s="14"/>
      <c r="D307" s="14"/>
      <c r="E307" s="14"/>
      <c r="F307" s="14"/>
      <c r="G307" s="14"/>
      <c r="H307" s="15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>
      <c r="A308" s="9"/>
      <c r="B308" s="9"/>
      <c r="C308" s="14"/>
      <c r="D308" s="14"/>
      <c r="E308" s="14"/>
      <c r="F308" s="14"/>
      <c r="G308" s="14"/>
      <c r="H308" s="15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>
      <c r="A309" s="9"/>
      <c r="B309" s="9"/>
      <c r="C309" s="14"/>
      <c r="D309" s="14"/>
      <c r="E309" s="14"/>
      <c r="F309" s="14"/>
      <c r="G309" s="14"/>
      <c r="H309" s="15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>
      <c r="A310" s="9"/>
      <c r="B310" s="9"/>
      <c r="C310" s="14"/>
      <c r="D310" s="14"/>
      <c r="E310" s="14"/>
      <c r="F310" s="14"/>
      <c r="G310" s="14"/>
      <c r="H310" s="15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>
      <c r="A311" s="9"/>
      <c r="B311" s="9"/>
      <c r="C311" s="14"/>
      <c r="D311" s="14"/>
      <c r="E311" s="14"/>
      <c r="F311" s="14"/>
      <c r="G311" s="14"/>
      <c r="H311" s="15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>
      <c r="A312" s="9"/>
      <c r="B312" s="9"/>
      <c r="C312" s="14"/>
      <c r="D312" s="14"/>
      <c r="E312" s="14"/>
      <c r="F312" s="14"/>
      <c r="G312" s="14"/>
      <c r="H312" s="15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>
      <c r="A313" s="9"/>
      <c r="B313" s="9"/>
      <c r="C313" s="14"/>
      <c r="D313" s="14"/>
      <c r="E313" s="14"/>
      <c r="F313" s="14"/>
      <c r="G313" s="14"/>
      <c r="H313" s="15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>
      <c r="A314" s="9"/>
      <c r="B314" s="9"/>
      <c r="C314" s="14"/>
      <c r="D314" s="14"/>
      <c r="E314" s="14"/>
      <c r="F314" s="14"/>
      <c r="G314" s="14"/>
      <c r="H314" s="15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>
      <c r="A315" s="9"/>
      <c r="B315" s="9"/>
      <c r="C315" s="14"/>
      <c r="D315" s="14"/>
      <c r="E315" s="14"/>
      <c r="F315" s="14"/>
      <c r="G315" s="14"/>
      <c r="H315" s="15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>
      <c r="A316" s="9"/>
      <c r="B316" s="9"/>
      <c r="C316" s="14"/>
      <c r="D316" s="14"/>
      <c r="E316" s="14"/>
      <c r="F316" s="14"/>
      <c r="G316" s="14"/>
      <c r="H316" s="15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>
      <c r="A317" s="9"/>
      <c r="B317" s="9"/>
      <c r="C317" s="14"/>
      <c r="D317" s="14"/>
      <c r="E317" s="14"/>
      <c r="F317" s="14"/>
      <c r="G317" s="14"/>
      <c r="H317" s="15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>
      <c r="A318" s="9"/>
      <c r="B318" s="9"/>
      <c r="C318" s="14"/>
      <c r="D318" s="14"/>
      <c r="E318" s="14"/>
      <c r="F318" s="14"/>
      <c r="G318" s="14"/>
      <c r="H318" s="15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>
      <c r="A319" s="9"/>
      <c r="B319" s="9"/>
      <c r="C319" s="14"/>
      <c r="D319" s="14"/>
      <c r="E319" s="14"/>
      <c r="F319" s="14"/>
      <c r="G319" s="14"/>
      <c r="H319" s="15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>
      <c r="A320" s="9"/>
      <c r="B320" s="9"/>
      <c r="C320" s="14"/>
      <c r="D320" s="14"/>
      <c r="E320" s="14"/>
      <c r="F320" s="14"/>
      <c r="G320" s="14"/>
      <c r="H320" s="15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>
      <c r="A321" s="9"/>
      <c r="B321" s="9"/>
      <c r="C321" s="14"/>
      <c r="D321" s="14"/>
      <c r="E321" s="14"/>
      <c r="F321" s="14"/>
      <c r="G321" s="14"/>
      <c r="H321" s="15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>
      <c r="A322" s="9"/>
      <c r="B322" s="9"/>
      <c r="C322" s="14"/>
      <c r="D322" s="14"/>
      <c r="E322" s="14"/>
      <c r="F322" s="14"/>
      <c r="G322" s="14"/>
      <c r="H322" s="15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>
      <c r="A323" s="9"/>
      <c r="B323" s="9"/>
      <c r="C323" s="14"/>
      <c r="D323" s="14"/>
      <c r="E323" s="14"/>
      <c r="F323" s="14"/>
      <c r="G323" s="14"/>
      <c r="H323" s="15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>
      <c r="A324" s="9"/>
      <c r="B324" s="9"/>
      <c r="C324" s="14"/>
      <c r="D324" s="14"/>
      <c r="E324" s="14"/>
      <c r="F324" s="14"/>
      <c r="G324" s="14"/>
      <c r="H324" s="15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>
      <c r="A325" s="9"/>
      <c r="B325" s="9"/>
      <c r="C325" s="14"/>
      <c r="D325" s="14"/>
      <c r="E325" s="14"/>
      <c r="F325" s="14"/>
      <c r="G325" s="14"/>
      <c r="H325" s="15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>
      <c r="A326" s="9"/>
      <c r="B326" s="9"/>
      <c r="C326" s="14"/>
      <c r="D326" s="14"/>
      <c r="E326" s="14"/>
      <c r="F326" s="14"/>
      <c r="G326" s="14"/>
      <c r="H326" s="15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>
      <c r="A327" s="9"/>
      <c r="B327" s="9"/>
      <c r="C327" s="14"/>
      <c r="D327" s="14"/>
      <c r="E327" s="14"/>
      <c r="F327" s="14"/>
      <c r="G327" s="14"/>
      <c r="H327" s="15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>
      <c r="A328" s="9"/>
      <c r="B328" s="9"/>
      <c r="C328" s="14"/>
      <c r="D328" s="14"/>
      <c r="E328" s="14"/>
      <c r="F328" s="14"/>
      <c r="G328" s="14"/>
      <c r="H328" s="15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>
      <c r="A329" s="9"/>
      <c r="B329" s="9"/>
      <c r="C329" s="14"/>
      <c r="D329" s="14"/>
      <c r="E329" s="14"/>
      <c r="F329" s="14"/>
      <c r="G329" s="14"/>
      <c r="H329" s="15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>
      <c r="A330" s="9"/>
      <c r="B330" s="9"/>
      <c r="C330" s="14"/>
      <c r="D330" s="14"/>
      <c r="E330" s="14"/>
      <c r="F330" s="14"/>
      <c r="G330" s="14"/>
      <c r="H330" s="15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>
      <c r="A331" s="9"/>
      <c r="B331" s="9"/>
      <c r="C331" s="14"/>
      <c r="D331" s="14"/>
      <c r="E331" s="14"/>
      <c r="F331" s="14"/>
      <c r="G331" s="14"/>
      <c r="H331" s="15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>
      <c r="A332" s="9"/>
      <c r="B332" s="9"/>
      <c r="C332" s="14"/>
      <c r="D332" s="14"/>
      <c r="E332" s="14"/>
      <c r="F332" s="14"/>
      <c r="G332" s="14"/>
      <c r="H332" s="15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>
      <c r="A333" s="9"/>
      <c r="B333" s="9"/>
      <c r="C333" s="14"/>
      <c r="D333" s="14"/>
      <c r="E333" s="14"/>
      <c r="F333" s="14"/>
      <c r="G333" s="14"/>
      <c r="H333" s="15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>
      <c r="A334" s="9"/>
      <c r="B334" s="9"/>
      <c r="C334" s="14"/>
      <c r="D334" s="14"/>
      <c r="E334" s="14"/>
      <c r="F334" s="14"/>
      <c r="G334" s="14"/>
      <c r="H334" s="15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>
      <c r="A335" s="9"/>
      <c r="B335" s="9"/>
      <c r="C335" s="14"/>
      <c r="D335" s="14"/>
      <c r="E335" s="14"/>
      <c r="F335" s="14"/>
      <c r="G335" s="14"/>
      <c r="H335" s="15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>
      <c r="A336" s="9"/>
      <c r="B336" s="9"/>
      <c r="C336" s="14"/>
      <c r="D336" s="14"/>
      <c r="E336" s="14"/>
      <c r="F336" s="14"/>
      <c r="G336" s="14"/>
      <c r="H336" s="15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>
      <c r="A337" s="9"/>
      <c r="B337" s="9"/>
      <c r="C337" s="14"/>
      <c r="D337" s="14"/>
      <c r="E337" s="14"/>
      <c r="F337" s="14"/>
      <c r="G337" s="14"/>
      <c r="H337" s="15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>
      <c r="A338" s="9"/>
      <c r="B338" s="9"/>
      <c r="C338" s="14"/>
      <c r="D338" s="14"/>
      <c r="E338" s="14"/>
      <c r="F338" s="14"/>
      <c r="G338" s="14"/>
      <c r="H338" s="15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>
      <c r="A339" s="9"/>
      <c r="B339" s="9"/>
      <c r="C339" s="14"/>
      <c r="D339" s="14"/>
      <c r="E339" s="14"/>
      <c r="F339" s="14"/>
      <c r="G339" s="14"/>
      <c r="H339" s="15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>
      <c r="A340" s="9"/>
      <c r="B340" s="9"/>
      <c r="C340" s="14"/>
      <c r="D340" s="14"/>
      <c r="E340" s="14"/>
      <c r="F340" s="14"/>
      <c r="G340" s="14"/>
      <c r="H340" s="15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>
      <c r="A341" s="9"/>
      <c r="B341" s="9"/>
      <c r="C341" s="14"/>
      <c r="D341" s="14"/>
      <c r="E341" s="14"/>
      <c r="F341" s="14"/>
      <c r="G341" s="14"/>
      <c r="H341" s="15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>
      <c r="A342" s="9"/>
      <c r="B342" s="9"/>
      <c r="C342" s="14"/>
      <c r="D342" s="14"/>
      <c r="E342" s="14"/>
      <c r="F342" s="14"/>
      <c r="G342" s="14"/>
      <c r="H342" s="15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>
      <c r="A343" s="9"/>
      <c r="B343" s="9"/>
      <c r="C343" s="14"/>
      <c r="D343" s="14"/>
      <c r="E343" s="14"/>
      <c r="F343" s="14"/>
      <c r="G343" s="14"/>
      <c r="H343" s="15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>
      <c r="A344" s="9"/>
      <c r="B344" s="9"/>
      <c r="C344" s="14"/>
      <c r="D344" s="14"/>
      <c r="E344" s="14"/>
      <c r="F344" s="14"/>
      <c r="G344" s="14"/>
      <c r="H344" s="15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>
      <c r="A345" s="9"/>
      <c r="B345" s="9"/>
      <c r="C345" s="14"/>
      <c r="D345" s="14"/>
      <c r="E345" s="14"/>
      <c r="F345" s="14"/>
      <c r="G345" s="14"/>
      <c r="H345" s="15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>
      <c r="A346" s="9"/>
      <c r="B346" s="9"/>
      <c r="C346" s="14"/>
      <c r="D346" s="14"/>
      <c r="E346" s="14"/>
      <c r="F346" s="14"/>
      <c r="G346" s="14"/>
      <c r="H346" s="15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>
      <c r="A347" s="9"/>
      <c r="B347" s="9"/>
      <c r="C347" s="14"/>
      <c r="D347" s="14"/>
      <c r="E347" s="14"/>
      <c r="F347" s="14"/>
      <c r="G347" s="14"/>
      <c r="H347" s="15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>
      <c r="A348" s="9"/>
      <c r="B348" s="9"/>
      <c r="C348" s="14"/>
      <c r="D348" s="14"/>
      <c r="E348" s="14"/>
      <c r="F348" s="14"/>
      <c r="G348" s="14"/>
      <c r="H348" s="15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>
      <c r="A349" s="9"/>
      <c r="B349" s="9"/>
      <c r="C349" s="14"/>
      <c r="D349" s="14"/>
      <c r="E349" s="14"/>
      <c r="F349" s="14"/>
      <c r="G349" s="14"/>
      <c r="H349" s="15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>
      <c r="A350" s="9"/>
      <c r="B350" s="9"/>
      <c r="C350" s="14"/>
      <c r="D350" s="14"/>
      <c r="E350" s="14"/>
      <c r="F350" s="14"/>
      <c r="G350" s="14"/>
      <c r="H350" s="15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>
      <c r="A351" s="9"/>
      <c r="B351" s="9"/>
      <c r="C351" s="14"/>
      <c r="D351" s="14"/>
      <c r="E351" s="14"/>
      <c r="F351" s="14"/>
      <c r="G351" s="14"/>
      <c r="H351" s="15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>
      <c r="A352" s="9"/>
      <c r="B352" s="9"/>
      <c r="C352" s="14"/>
      <c r="D352" s="14"/>
      <c r="E352" s="14"/>
      <c r="F352" s="14"/>
      <c r="G352" s="14"/>
      <c r="H352" s="15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>
      <c r="A353" s="9"/>
      <c r="B353" s="9"/>
      <c r="C353" s="14"/>
      <c r="D353" s="14"/>
      <c r="E353" s="14"/>
      <c r="F353" s="14"/>
      <c r="G353" s="14"/>
      <c r="H353" s="15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>
      <c r="A354" s="9"/>
      <c r="B354" s="9"/>
      <c r="C354" s="14"/>
      <c r="D354" s="14"/>
      <c r="E354" s="14"/>
      <c r="F354" s="14"/>
      <c r="G354" s="14"/>
      <c r="H354" s="15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>
      <c r="A355" s="9"/>
      <c r="B355" s="9"/>
      <c r="C355" s="14"/>
      <c r="D355" s="14"/>
      <c r="E355" s="14"/>
      <c r="F355" s="14"/>
      <c r="G355" s="14"/>
      <c r="H355" s="15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>
      <c r="A356" s="9"/>
      <c r="B356" s="9"/>
      <c r="C356" s="14"/>
      <c r="D356" s="14"/>
      <c r="E356" s="14"/>
      <c r="F356" s="14"/>
      <c r="G356" s="14"/>
      <c r="H356" s="15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>
      <c r="A357" s="9"/>
      <c r="B357" s="9"/>
      <c r="C357" s="14"/>
      <c r="D357" s="14"/>
      <c r="E357" s="14"/>
      <c r="F357" s="14"/>
      <c r="G357" s="14"/>
      <c r="H357" s="15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>
      <c r="A358" s="9"/>
      <c r="B358" s="9"/>
      <c r="C358" s="14"/>
      <c r="D358" s="14"/>
      <c r="E358" s="14"/>
      <c r="F358" s="14"/>
      <c r="G358" s="14"/>
      <c r="H358" s="15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>
      <c r="A359" s="9"/>
      <c r="B359" s="9"/>
      <c r="C359" s="14"/>
      <c r="D359" s="14"/>
      <c r="E359" s="14"/>
      <c r="F359" s="14"/>
      <c r="G359" s="14"/>
      <c r="H359" s="15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>
      <c r="A360" s="9"/>
      <c r="B360" s="9"/>
      <c r="C360" s="14"/>
      <c r="D360" s="14"/>
      <c r="E360" s="14"/>
      <c r="F360" s="14"/>
      <c r="G360" s="14"/>
      <c r="H360" s="15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>
      <c r="A361" s="9"/>
      <c r="B361" s="9"/>
      <c r="C361" s="14"/>
      <c r="D361" s="14"/>
      <c r="E361" s="14"/>
      <c r="F361" s="14"/>
      <c r="G361" s="14"/>
      <c r="H361" s="15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>
      <c r="A362" s="9"/>
      <c r="B362" s="9"/>
      <c r="C362" s="14"/>
      <c r="D362" s="14"/>
      <c r="E362" s="14"/>
      <c r="F362" s="14"/>
      <c r="G362" s="14"/>
      <c r="H362" s="15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>
      <c r="A363" s="9"/>
      <c r="B363" s="9"/>
      <c r="C363" s="14"/>
      <c r="D363" s="14"/>
      <c r="E363" s="14"/>
      <c r="F363" s="14"/>
      <c r="G363" s="14"/>
      <c r="H363" s="15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>
      <c r="A364" s="9"/>
      <c r="B364" s="9"/>
      <c r="C364" s="14"/>
      <c r="D364" s="14"/>
      <c r="E364" s="14"/>
      <c r="F364" s="14"/>
      <c r="G364" s="14"/>
      <c r="H364" s="15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>
      <c r="A365" s="9"/>
      <c r="B365" s="9"/>
      <c r="C365" s="14"/>
      <c r="D365" s="14"/>
      <c r="E365" s="14"/>
      <c r="F365" s="14"/>
      <c r="G365" s="14"/>
      <c r="H365" s="15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>
      <c r="A366" s="9"/>
      <c r="B366" s="9"/>
      <c r="C366" s="14"/>
      <c r="D366" s="14"/>
      <c r="E366" s="14"/>
      <c r="F366" s="14"/>
      <c r="G366" s="14"/>
      <c r="H366" s="15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>
      <c r="A367" s="9"/>
      <c r="B367" s="9"/>
      <c r="C367" s="14"/>
      <c r="D367" s="14"/>
      <c r="E367" s="14"/>
      <c r="F367" s="14"/>
      <c r="G367" s="14"/>
      <c r="H367" s="15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>
      <c r="A368" s="9"/>
      <c r="B368" s="9"/>
      <c r="C368" s="14"/>
      <c r="D368" s="14"/>
      <c r="E368" s="14"/>
      <c r="F368" s="14"/>
      <c r="G368" s="14"/>
      <c r="H368" s="15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>
      <c r="A369" s="9"/>
      <c r="B369" s="9"/>
      <c r="C369" s="14"/>
      <c r="D369" s="14"/>
      <c r="E369" s="14"/>
      <c r="F369" s="14"/>
      <c r="G369" s="14"/>
      <c r="H369" s="15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>
      <c r="A370" s="9"/>
      <c r="B370" s="9"/>
      <c r="C370" s="14"/>
      <c r="D370" s="14"/>
      <c r="E370" s="14"/>
      <c r="F370" s="14"/>
      <c r="G370" s="14"/>
      <c r="H370" s="15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>
      <c r="A371" s="9"/>
      <c r="B371" s="9"/>
      <c r="C371" s="14"/>
      <c r="D371" s="14"/>
      <c r="E371" s="14"/>
      <c r="F371" s="14"/>
      <c r="G371" s="14"/>
      <c r="H371" s="15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>
      <c r="A372" s="9"/>
      <c r="B372" s="9"/>
      <c r="C372" s="14"/>
      <c r="D372" s="14"/>
      <c r="E372" s="14"/>
      <c r="F372" s="14"/>
      <c r="G372" s="14"/>
      <c r="H372" s="15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>
      <c r="A373" s="9"/>
      <c r="B373" s="9"/>
      <c r="C373" s="14"/>
      <c r="D373" s="14"/>
      <c r="E373" s="14"/>
      <c r="F373" s="14"/>
      <c r="G373" s="14"/>
      <c r="H373" s="15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>
      <c r="A374" s="9"/>
      <c r="B374" s="9"/>
      <c r="C374" s="14"/>
      <c r="D374" s="14"/>
      <c r="E374" s="14"/>
      <c r="F374" s="14"/>
      <c r="G374" s="14"/>
      <c r="H374" s="15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>
      <c r="A375" s="9"/>
      <c r="B375" s="9"/>
      <c r="C375" s="14"/>
      <c r="D375" s="14"/>
      <c r="E375" s="14"/>
      <c r="F375" s="14"/>
      <c r="G375" s="14"/>
      <c r="H375" s="15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>
      <c r="A376" s="9"/>
      <c r="B376" s="9"/>
      <c r="C376" s="14"/>
      <c r="D376" s="14"/>
      <c r="E376" s="14"/>
      <c r="F376" s="14"/>
      <c r="G376" s="14"/>
      <c r="H376" s="15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>
      <c r="A377" s="9"/>
      <c r="B377" s="9"/>
      <c r="C377" s="14"/>
      <c r="D377" s="14"/>
      <c r="E377" s="14"/>
      <c r="F377" s="14"/>
      <c r="G377" s="14"/>
      <c r="H377" s="15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>
      <c r="A378" s="9"/>
      <c r="B378" s="9"/>
      <c r="C378" s="14"/>
      <c r="D378" s="14"/>
      <c r="E378" s="14"/>
      <c r="F378" s="14"/>
      <c r="G378" s="14"/>
      <c r="H378" s="15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>
      <c r="A379" s="9"/>
      <c r="B379" s="9"/>
      <c r="C379" s="14"/>
      <c r="D379" s="14"/>
      <c r="E379" s="14"/>
      <c r="F379" s="14"/>
      <c r="G379" s="14"/>
      <c r="H379" s="15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>
      <c r="A380" s="9"/>
      <c r="B380" s="9"/>
      <c r="C380" s="14"/>
      <c r="D380" s="14"/>
      <c r="E380" s="14"/>
      <c r="F380" s="14"/>
      <c r="G380" s="14"/>
      <c r="H380" s="15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>
      <c r="A381" s="9"/>
      <c r="B381" s="9"/>
      <c r="C381" s="14"/>
      <c r="D381" s="14"/>
      <c r="E381" s="14"/>
      <c r="F381" s="14"/>
      <c r="G381" s="14"/>
      <c r="H381" s="15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>
      <c r="A382" s="9"/>
      <c r="B382" s="9"/>
      <c r="C382" s="14"/>
      <c r="D382" s="14"/>
      <c r="E382" s="14"/>
      <c r="F382" s="14"/>
      <c r="G382" s="14"/>
      <c r="H382" s="15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>
      <c r="A383" s="9"/>
      <c r="B383" s="9"/>
      <c r="C383" s="14"/>
      <c r="D383" s="14"/>
      <c r="E383" s="14"/>
      <c r="F383" s="14"/>
      <c r="G383" s="14"/>
      <c r="H383" s="15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>
      <c r="A384" s="9"/>
      <c r="B384" s="9"/>
      <c r="C384" s="14"/>
      <c r="D384" s="14"/>
      <c r="E384" s="14"/>
      <c r="F384" s="14"/>
      <c r="G384" s="14"/>
      <c r="H384" s="15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>
      <c r="A385" s="9"/>
      <c r="B385" s="9"/>
      <c r="C385" s="14"/>
      <c r="D385" s="14"/>
      <c r="E385" s="14"/>
      <c r="F385" s="14"/>
      <c r="G385" s="14"/>
      <c r="H385" s="15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>
      <c r="A386" s="9"/>
      <c r="B386" s="9"/>
      <c r="C386" s="14"/>
      <c r="D386" s="14"/>
      <c r="E386" s="14"/>
      <c r="F386" s="14"/>
      <c r="G386" s="14"/>
      <c r="H386" s="15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>
      <c r="A387" s="9"/>
      <c r="B387" s="9"/>
      <c r="C387" s="14"/>
      <c r="D387" s="14"/>
      <c r="E387" s="14"/>
      <c r="F387" s="14"/>
      <c r="G387" s="14"/>
      <c r="H387" s="15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>
      <c r="A388" s="9"/>
      <c r="B388" s="9"/>
      <c r="C388" s="14"/>
      <c r="D388" s="14"/>
      <c r="E388" s="14"/>
      <c r="F388" s="14"/>
      <c r="G388" s="14"/>
      <c r="H388" s="15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>
      <c r="A389" s="9"/>
      <c r="B389" s="9"/>
      <c r="C389" s="14"/>
      <c r="D389" s="14"/>
      <c r="E389" s="14"/>
      <c r="F389" s="14"/>
      <c r="G389" s="14"/>
      <c r="H389" s="15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>
      <c r="A390" s="9"/>
      <c r="B390" s="9"/>
      <c r="C390" s="14"/>
      <c r="D390" s="14"/>
      <c r="E390" s="14"/>
      <c r="F390" s="14"/>
      <c r="G390" s="14"/>
      <c r="H390" s="15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>
      <c r="A391" s="9"/>
      <c r="B391" s="9"/>
      <c r="C391" s="14"/>
      <c r="D391" s="14"/>
      <c r="E391" s="14"/>
      <c r="F391" s="14"/>
      <c r="G391" s="14"/>
      <c r="H391" s="15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>
      <c r="A392" s="9"/>
      <c r="B392" s="9"/>
      <c r="C392" s="14"/>
      <c r="D392" s="14"/>
      <c r="E392" s="14"/>
      <c r="F392" s="14"/>
      <c r="G392" s="14"/>
      <c r="H392" s="15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>
      <c r="A393" s="9"/>
      <c r="B393" s="9"/>
      <c r="C393" s="14"/>
      <c r="D393" s="14"/>
      <c r="E393" s="14"/>
      <c r="F393" s="14"/>
      <c r="G393" s="14"/>
      <c r="H393" s="15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>
      <c r="A394" s="9"/>
      <c r="B394" s="9"/>
      <c r="C394" s="14"/>
      <c r="D394" s="14"/>
      <c r="E394" s="14"/>
      <c r="F394" s="14"/>
      <c r="G394" s="14"/>
      <c r="H394" s="15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>
      <c r="A395" s="9"/>
      <c r="B395" s="9"/>
      <c r="C395" s="14"/>
      <c r="D395" s="14"/>
      <c r="E395" s="14"/>
      <c r="F395" s="14"/>
      <c r="G395" s="14"/>
      <c r="H395" s="15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>
      <c r="A396" s="9"/>
      <c r="B396" s="9"/>
      <c r="C396" s="14"/>
      <c r="D396" s="14"/>
      <c r="E396" s="14"/>
      <c r="F396" s="14"/>
      <c r="G396" s="14"/>
      <c r="H396" s="15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>
      <c r="A397" s="9"/>
      <c r="B397" s="9"/>
      <c r="C397" s="14"/>
      <c r="D397" s="14"/>
      <c r="E397" s="14"/>
      <c r="F397" s="14"/>
      <c r="G397" s="14"/>
      <c r="H397" s="15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>
      <c r="A398" s="9"/>
      <c r="B398" s="9"/>
      <c r="C398" s="14"/>
      <c r="D398" s="14"/>
      <c r="E398" s="14"/>
      <c r="F398" s="14"/>
      <c r="G398" s="14"/>
      <c r="H398" s="15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>
      <c r="A399" s="9"/>
      <c r="B399" s="9"/>
      <c r="C399" s="14"/>
      <c r="D399" s="14"/>
      <c r="E399" s="14"/>
      <c r="F399" s="14"/>
      <c r="G399" s="14"/>
      <c r="H399" s="15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>
      <c r="A400" s="9"/>
      <c r="B400" s="9"/>
      <c r="C400" s="14"/>
      <c r="D400" s="14"/>
      <c r="E400" s="14"/>
      <c r="F400" s="14"/>
      <c r="G400" s="14"/>
      <c r="H400" s="15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>
      <c r="A401" s="9"/>
      <c r="B401" s="9"/>
      <c r="C401" s="14"/>
      <c r="D401" s="14"/>
      <c r="E401" s="14"/>
      <c r="F401" s="14"/>
      <c r="G401" s="14"/>
      <c r="H401" s="15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>
      <c r="A402" s="9"/>
      <c r="B402" s="9"/>
      <c r="C402" s="14"/>
      <c r="D402" s="14"/>
      <c r="E402" s="14"/>
      <c r="F402" s="14"/>
      <c r="G402" s="14"/>
      <c r="H402" s="15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>
      <c r="A403" s="9"/>
      <c r="B403" s="9"/>
      <c r="C403" s="14"/>
      <c r="D403" s="14"/>
      <c r="E403" s="14"/>
      <c r="F403" s="14"/>
      <c r="G403" s="14"/>
      <c r="H403" s="15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>
      <c r="A404" s="9"/>
      <c r="B404" s="9"/>
      <c r="C404" s="14"/>
      <c r="D404" s="14"/>
      <c r="E404" s="14"/>
      <c r="F404" s="14"/>
      <c r="G404" s="14"/>
      <c r="H404" s="15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>
      <c r="A405" s="9"/>
      <c r="B405" s="9"/>
      <c r="C405" s="14"/>
      <c r="D405" s="14"/>
      <c r="E405" s="14"/>
      <c r="F405" s="14"/>
      <c r="G405" s="14"/>
      <c r="H405" s="15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>
      <c r="A406" s="9"/>
      <c r="B406" s="9"/>
      <c r="C406" s="14"/>
      <c r="D406" s="14"/>
      <c r="E406" s="14"/>
      <c r="F406" s="14"/>
      <c r="G406" s="14"/>
      <c r="H406" s="15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>
      <c r="A407" s="9"/>
      <c r="B407" s="9"/>
      <c r="C407" s="14"/>
      <c r="D407" s="14"/>
      <c r="E407" s="14"/>
      <c r="F407" s="14"/>
      <c r="G407" s="14"/>
      <c r="H407" s="15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>
      <c r="A408" s="9"/>
      <c r="B408" s="9"/>
      <c r="C408" s="14"/>
      <c r="D408" s="14"/>
      <c r="E408" s="14"/>
      <c r="F408" s="14"/>
      <c r="G408" s="14"/>
      <c r="H408" s="15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>
      <c r="A409" s="9"/>
      <c r="B409" s="9"/>
      <c r="C409" s="14"/>
      <c r="D409" s="14"/>
      <c r="E409" s="14"/>
      <c r="F409" s="14"/>
      <c r="G409" s="14"/>
      <c r="H409" s="15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>
      <c r="A410" s="9"/>
      <c r="B410" s="9"/>
      <c r="C410" s="14"/>
      <c r="D410" s="14"/>
      <c r="E410" s="14"/>
      <c r="F410" s="14"/>
      <c r="G410" s="14"/>
      <c r="H410" s="15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>
      <c r="A411" s="9"/>
      <c r="B411" s="9"/>
      <c r="C411" s="14"/>
      <c r="D411" s="14"/>
      <c r="E411" s="14"/>
      <c r="F411" s="14"/>
      <c r="G411" s="14"/>
      <c r="H411" s="15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>
      <c r="A412" s="9"/>
      <c r="B412" s="9"/>
      <c r="C412" s="14"/>
      <c r="D412" s="14"/>
      <c r="E412" s="14"/>
      <c r="F412" s="14"/>
      <c r="G412" s="14"/>
      <c r="H412" s="15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>
      <c r="A413" s="9"/>
      <c r="B413" s="9"/>
      <c r="C413" s="14"/>
      <c r="D413" s="14"/>
      <c r="E413" s="14"/>
      <c r="F413" s="14"/>
      <c r="G413" s="14"/>
      <c r="H413" s="15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>
      <c r="A414" s="9"/>
      <c r="B414" s="9"/>
      <c r="C414" s="14"/>
      <c r="D414" s="14"/>
      <c r="E414" s="14"/>
      <c r="F414" s="14"/>
      <c r="G414" s="14"/>
      <c r="H414" s="15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>
      <c r="A415" s="9"/>
      <c r="B415" s="9"/>
      <c r="C415" s="14"/>
      <c r="D415" s="14"/>
      <c r="E415" s="14"/>
      <c r="F415" s="14"/>
      <c r="G415" s="14"/>
      <c r="H415" s="15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>
      <c r="A416" s="9"/>
      <c r="B416" s="9"/>
      <c r="C416" s="14"/>
      <c r="D416" s="14"/>
      <c r="E416" s="14"/>
      <c r="F416" s="14"/>
      <c r="G416" s="14"/>
      <c r="H416" s="15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>
      <c r="A417" s="9"/>
      <c r="B417" s="9"/>
      <c r="C417" s="14"/>
      <c r="D417" s="14"/>
      <c r="E417" s="14"/>
      <c r="F417" s="14"/>
      <c r="G417" s="14"/>
      <c r="H417" s="15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>
      <c r="A418" s="9"/>
      <c r="B418" s="9"/>
      <c r="C418" s="14"/>
      <c r="D418" s="14"/>
      <c r="E418" s="14"/>
      <c r="F418" s="14"/>
      <c r="G418" s="14"/>
      <c r="H418" s="15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>
      <c r="A419" s="9"/>
      <c r="B419" s="9"/>
      <c r="C419" s="14"/>
      <c r="D419" s="14"/>
      <c r="E419" s="14"/>
      <c r="F419" s="14"/>
      <c r="G419" s="14"/>
      <c r="H419" s="15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>
      <c r="A420" s="9"/>
      <c r="B420" s="9"/>
      <c r="C420" s="14"/>
      <c r="D420" s="14"/>
      <c r="E420" s="14"/>
      <c r="F420" s="14"/>
      <c r="G420" s="14"/>
      <c r="H420" s="15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>
      <c r="A421" s="9"/>
      <c r="B421" s="9"/>
      <c r="C421" s="14"/>
      <c r="D421" s="14"/>
      <c r="E421" s="14"/>
      <c r="F421" s="14"/>
      <c r="G421" s="14"/>
      <c r="H421" s="15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>
      <c r="A422" s="9"/>
      <c r="B422" s="9"/>
      <c r="C422" s="14"/>
      <c r="D422" s="14"/>
      <c r="E422" s="14"/>
      <c r="F422" s="14"/>
      <c r="G422" s="14"/>
      <c r="H422" s="15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>
      <c r="A423" s="9"/>
      <c r="B423" s="9"/>
      <c r="C423" s="14"/>
      <c r="D423" s="14"/>
      <c r="E423" s="14"/>
      <c r="F423" s="14"/>
      <c r="G423" s="14"/>
      <c r="H423" s="15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>
      <c r="A424" s="9"/>
      <c r="B424" s="9"/>
      <c r="C424" s="14"/>
      <c r="D424" s="14"/>
      <c r="E424" s="14"/>
      <c r="F424" s="14"/>
      <c r="G424" s="14"/>
      <c r="H424" s="15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>
      <c r="A425" s="9"/>
      <c r="B425" s="9"/>
      <c r="C425" s="14"/>
      <c r="D425" s="14"/>
      <c r="E425" s="14"/>
      <c r="F425" s="14"/>
      <c r="G425" s="14"/>
      <c r="H425" s="15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>
      <c r="A426" s="9"/>
      <c r="B426" s="9"/>
      <c r="C426" s="14"/>
      <c r="D426" s="14"/>
      <c r="E426" s="14"/>
      <c r="F426" s="14"/>
      <c r="G426" s="14"/>
      <c r="H426" s="15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>
      <c r="A427" s="9"/>
      <c r="B427" s="9"/>
      <c r="C427" s="14"/>
      <c r="D427" s="14"/>
      <c r="E427" s="14"/>
      <c r="F427" s="14"/>
      <c r="G427" s="14"/>
      <c r="H427" s="15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>
      <c r="A428" s="9"/>
      <c r="B428" s="9"/>
      <c r="C428" s="14"/>
      <c r="D428" s="14"/>
      <c r="E428" s="14"/>
      <c r="F428" s="14"/>
      <c r="G428" s="14"/>
      <c r="H428" s="15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>
      <c r="A429" s="9"/>
      <c r="B429" s="9"/>
      <c r="C429" s="14"/>
      <c r="D429" s="14"/>
      <c r="E429" s="14"/>
      <c r="F429" s="14"/>
      <c r="G429" s="14"/>
      <c r="H429" s="15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>
      <c r="A430" s="9"/>
      <c r="B430" s="9"/>
      <c r="C430" s="14"/>
      <c r="D430" s="14"/>
      <c r="E430" s="14"/>
      <c r="F430" s="14"/>
      <c r="G430" s="14"/>
      <c r="H430" s="15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>
      <c r="A431" s="9"/>
      <c r="B431" s="9"/>
      <c r="C431" s="14"/>
      <c r="D431" s="14"/>
      <c r="E431" s="14"/>
      <c r="F431" s="14"/>
      <c r="G431" s="14"/>
      <c r="H431" s="15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>
      <c r="A432" s="9"/>
      <c r="B432" s="9"/>
      <c r="C432" s="14"/>
      <c r="D432" s="14"/>
      <c r="E432" s="14"/>
      <c r="F432" s="14"/>
      <c r="G432" s="14"/>
      <c r="H432" s="15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>
      <c r="A433" s="9"/>
      <c r="B433" s="9"/>
      <c r="C433" s="14"/>
      <c r="D433" s="14"/>
      <c r="E433" s="14"/>
      <c r="F433" s="14"/>
      <c r="G433" s="14"/>
      <c r="H433" s="15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>
      <c r="A434" s="9"/>
      <c r="B434" s="9"/>
      <c r="C434" s="14"/>
      <c r="D434" s="14"/>
      <c r="E434" s="14"/>
      <c r="F434" s="14"/>
      <c r="G434" s="14"/>
      <c r="H434" s="15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>
      <c r="A435" s="9"/>
      <c r="B435" s="9"/>
      <c r="C435" s="14"/>
      <c r="D435" s="14"/>
      <c r="E435" s="14"/>
      <c r="F435" s="14"/>
      <c r="G435" s="14"/>
      <c r="H435" s="15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>
      <c r="A436" s="9"/>
      <c r="B436" s="9"/>
      <c r="C436" s="14"/>
      <c r="D436" s="14"/>
      <c r="E436" s="14"/>
      <c r="F436" s="14"/>
      <c r="G436" s="14"/>
      <c r="H436" s="15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>
      <c r="A437" s="9"/>
      <c r="B437" s="9"/>
      <c r="C437" s="14"/>
      <c r="D437" s="14"/>
      <c r="E437" s="14"/>
      <c r="F437" s="14"/>
      <c r="G437" s="14"/>
      <c r="H437" s="15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>
      <c r="A438" s="9"/>
      <c r="B438" s="9"/>
      <c r="C438" s="14"/>
      <c r="D438" s="14"/>
      <c r="E438" s="14"/>
      <c r="F438" s="14"/>
      <c r="G438" s="14"/>
      <c r="H438" s="15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>
      <c r="A439" s="9"/>
      <c r="B439" s="9"/>
      <c r="C439" s="14"/>
      <c r="D439" s="14"/>
      <c r="E439" s="14"/>
      <c r="F439" s="14"/>
      <c r="G439" s="14"/>
      <c r="H439" s="15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>
      <c r="A440" s="9"/>
      <c r="B440" s="9"/>
      <c r="C440" s="14"/>
      <c r="D440" s="14"/>
      <c r="E440" s="14"/>
      <c r="F440" s="14"/>
      <c r="G440" s="14"/>
      <c r="H440" s="15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>
      <c r="A441" s="9"/>
      <c r="B441" s="9"/>
      <c r="C441" s="14"/>
      <c r="D441" s="14"/>
      <c r="E441" s="14"/>
      <c r="F441" s="14"/>
      <c r="G441" s="14"/>
      <c r="H441" s="15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>
      <c r="A442" s="9"/>
      <c r="B442" s="9"/>
      <c r="C442" s="14"/>
      <c r="D442" s="14"/>
      <c r="E442" s="14"/>
      <c r="F442" s="14"/>
      <c r="G442" s="14"/>
      <c r="H442" s="15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>
      <c r="A443" s="9"/>
      <c r="B443" s="9"/>
      <c r="C443" s="14"/>
      <c r="D443" s="14"/>
      <c r="E443" s="14"/>
      <c r="F443" s="14"/>
      <c r="G443" s="14"/>
      <c r="H443" s="15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>
      <c r="A444" s="9"/>
      <c r="B444" s="9"/>
      <c r="C444" s="14"/>
      <c r="D444" s="14"/>
      <c r="E444" s="14"/>
      <c r="F444" s="14"/>
      <c r="G444" s="14"/>
      <c r="H444" s="15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>
      <c r="A445" s="9"/>
      <c r="B445" s="9"/>
      <c r="C445" s="14"/>
      <c r="D445" s="14"/>
      <c r="E445" s="14"/>
      <c r="F445" s="14"/>
      <c r="G445" s="14"/>
      <c r="H445" s="15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>
      <c r="A446" s="9"/>
      <c r="B446" s="9"/>
      <c r="C446" s="14"/>
      <c r="D446" s="14"/>
      <c r="E446" s="14"/>
      <c r="F446" s="14"/>
      <c r="G446" s="14"/>
      <c r="H446" s="15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>
      <c r="A447" s="9"/>
      <c r="B447" s="9"/>
      <c r="C447" s="14"/>
      <c r="D447" s="14"/>
      <c r="E447" s="14"/>
      <c r="F447" s="14"/>
      <c r="G447" s="14"/>
      <c r="H447" s="15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>
      <c r="A448" s="9"/>
      <c r="B448" s="9"/>
      <c r="C448" s="14"/>
      <c r="D448" s="14"/>
      <c r="E448" s="14"/>
      <c r="F448" s="14"/>
      <c r="G448" s="14"/>
      <c r="H448" s="15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>
      <c r="A449" s="9"/>
      <c r="B449" s="9"/>
      <c r="C449" s="14"/>
      <c r="D449" s="14"/>
      <c r="E449" s="14"/>
      <c r="F449" s="14"/>
      <c r="G449" s="14"/>
      <c r="H449" s="15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>
      <c r="A450" s="9"/>
      <c r="B450" s="9"/>
      <c r="C450" s="14"/>
      <c r="D450" s="14"/>
      <c r="E450" s="14"/>
      <c r="F450" s="14"/>
      <c r="G450" s="14"/>
      <c r="H450" s="15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>
      <c r="A451" s="9"/>
      <c r="B451" s="9"/>
      <c r="C451" s="14"/>
      <c r="D451" s="14"/>
      <c r="E451" s="14"/>
      <c r="F451" s="14"/>
      <c r="G451" s="14"/>
      <c r="H451" s="15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>
      <c r="A452" s="9"/>
      <c r="B452" s="9"/>
      <c r="C452" s="14"/>
      <c r="D452" s="14"/>
      <c r="E452" s="14"/>
      <c r="F452" s="14"/>
      <c r="G452" s="14"/>
      <c r="H452" s="15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>
      <c r="A453" s="9"/>
      <c r="B453" s="9"/>
      <c r="C453" s="14"/>
      <c r="D453" s="14"/>
      <c r="E453" s="14"/>
      <c r="F453" s="14"/>
      <c r="G453" s="14"/>
      <c r="H453" s="15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>
      <c r="A454" s="9"/>
      <c r="B454" s="9"/>
      <c r="C454" s="14"/>
      <c r="D454" s="14"/>
      <c r="E454" s="14"/>
      <c r="F454" s="14"/>
      <c r="G454" s="14"/>
      <c r="H454" s="15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>
      <c r="A455" s="9"/>
      <c r="B455" s="9"/>
      <c r="C455" s="14"/>
      <c r="D455" s="14"/>
      <c r="E455" s="14"/>
      <c r="F455" s="14"/>
      <c r="G455" s="14"/>
      <c r="H455" s="15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>
      <c r="A456" s="9"/>
      <c r="B456" s="9"/>
      <c r="C456" s="14"/>
      <c r="D456" s="14"/>
      <c r="E456" s="14"/>
      <c r="F456" s="14"/>
      <c r="G456" s="14"/>
      <c r="H456" s="15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>
      <c r="A457" s="9"/>
      <c r="B457" s="9"/>
      <c r="C457" s="14"/>
      <c r="D457" s="14"/>
      <c r="E457" s="14"/>
      <c r="F457" s="14"/>
      <c r="G457" s="14"/>
      <c r="H457" s="15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>
      <c r="A458" s="9"/>
      <c r="B458" s="9"/>
      <c r="C458" s="14"/>
      <c r="D458" s="14"/>
      <c r="E458" s="14"/>
      <c r="F458" s="14"/>
      <c r="G458" s="14"/>
      <c r="H458" s="15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>
      <c r="A459" s="9"/>
      <c r="B459" s="9"/>
      <c r="C459" s="14"/>
      <c r="D459" s="14"/>
      <c r="E459" s="14"/>
      <c r="F459" s="14"/>
      <c r="G459" s="14"/>
      <c r="H459" s="15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>
      <c r="A460" s="9"/>
      <c r="B460" s="9"/>
      <c r="C460" s="14"/>
      <c r="D460" s="14"/>
      <c r="E460" s="14"/>
      <c r="F460" s="14"/>
      <c r="G460" s="14"/>
      <c r="H460" s="15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>
      <c r="A461" s="9"/>
      <c r="B461" s="9"/>
      <c r="C461" s="14"/>
      <c r="D461" s="14"/>
      <c r="E461" s="14"/>
      <c r="F461" s="14"/>
      <c r="G461" s="14"/>
      <c r="H461" s="15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>
      <c r="A462" s="9"/>
      <c r="B462" s="9"/>
      <c r="C462" s="14"/>
      <c r="D462" s="14"/>
      <c r="E462" s="14"/>
      <c r="F462" s="14"/>
      <c r="G462" s="14"/>
      <c r="H462" s="15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>
      <c r="A463" s="9"/>
      <c r="B463" s="9"/>
      <c r="C463" s="14"/>
      <c r="D463" s="14"/>
      <c r="E463" s="14"/>
      <c r="F463" s="14"/>
      <c r="G463" s="14"/>
      <c r="H463" s="15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>
      <c r="A464" s="9"/>
      <c r="B464" s="9"/>
      <c r="C464" s="14"/>
      <c r="D464" s="14"/>
      <c r="E464" s="14"/>
      <c r="F464" s="14"/>
      <c r="G464" s="14"/>
      <c r="H464" s="15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>
      <c r="A465" s="9"/>
      <c r="B465" s="9"/>
      <c r="C465" s="14"/>
      <c r="D465" s="14"/>
      <c r="E465" s="14"/>
      <c r="F465" s="14"/>
      <c r="G465" s="14"/>
      <c r="H465" s="15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>
      <c r="A466" s="9"/>
      <c r="B466" s="9"/>
      <c r="C466" s="14"/>
      <c r="D466" s="14"/>
      <c r="E466" s="14"/>
      <c r="F466" s="14"/>
      <c r="G466" s="14"/>
      <c r="H466" s="15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>
      <c r="A467" s="9"/>
      <c r="B467" s="9"/>
      <c r="C467" s="14"/>
      <c r="D467" s="14"/>
      <c r="E467" s="14"/>
      <c r="F467" s="14"/>
      <c r="G467" s="14"/>
      <c r="H467" s="15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>
      <c r="A468" s="9"/>
      <c r="B468" s="9"/>
      <c r="C468" s="14"/>
      <c r="D468" s="14"/>
      <c r="E468" s="14"/>
      <c r="F468" s="14"/>
      <c r="G468" s="14"/>
      <c r="H468" s="15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>
      <c r="A469" s="9"/>
      <c r="B469" s="9"/>
      <c r="C469" s="14"/>
      <c r="D469" s="14"/>
      <c r="E469" s="14"/>
      <c r="F469" s="14"/>
      <c r="G469" s="14"/>
      <c r="H469" s="15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>
      <c r="A470" s="9"/>
      <c r="B470" s="9"/>
      <c r="C470" s="14"/>
      <c r="D470" s="14"/>
      <c r="E470" s="14"/>
      <c r="F470" s="14"/>
      <c r="G470" s="14"/>
      <c r="H470" s="15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>
      <c r="A471" s="9"/>
      <c r="B471" s="9"/>
      <c r="C471" s="14"/>
      <c r="D471" s="14"/>
      <c r="E471" s="14"/>
      <c r="F471" s="14"/>
      <c r="G471" s="14"/>
      <c r="H471" s="15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>
      <c r="A472" s="9"/>
      <c r="B472" s="9"/>
      <c r="C472" s="14"/>
      <c r="D472" s="14"/>
      <c r="E472" s="14"/>
      <c r="F472" s="14"/>
      <c r="G472" s="14"/>
      <c r="H472" s="15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>
      <c r="A473" s="9"/>
      <c r="B473" s="9"/>
      <c r="C473" s="14"/>
      <c r="D473" s="14"/>
      <c r="E473" s="14"/>
      <c r="F473" s="14"/>
      <c r="G473" s="14"/>
      <c r="H473" s="15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>
      <c r="A474" s="9"/>
      <c r="B474" s="9"/>
      <c r="C474" s="14"/>
      <c r="D474" s="14"/>
      <c r="E474" s="14"/>
      <c r="F474" s="14"/>
      <c r="G474" s="14"/>
      <c r="H474" s="15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>
      <c r="A475" s="9"/>
      <c r="B475" s="9"/>
      <c r="C475" s="14"/>
      <c r="D475" s="14"/>
      <c r="E475" s="14"/>
      <c r="F475" s="14"/>
      <c r="G475" s="14"/>
      <c r="H475" s="15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>
      <c r="A476" s="9"/>
      <c r="B476" s="9"/>
      <c r="C476" s="14"/>
      <c r="D476" s="14"/>
      <c r="E476" s="14"/>
      <c r="F476" s="14"/>
      <c r="G476" s="14"/>
      <c r="H476" s="15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>
      <c r="A477" s="9"/>
      <c r="B477" s="9"/>
      <c r="C477" s="14"/>
      <c r="D477" s="14"/>
      <c r="E477" s="14"/>
      <c r="F477" s="14"/>
      <c r="G477" s="14"/>
      <c r="H477" s="15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>
      <c r="A478" s="9"/>
      <c r="B478" s="9"/>
      <c r="C478" s="14"/>
      <c r="D478" s="14"/>
      <c r="E478" s="14"/>
      <c r="F478" s="14"/>
      <c r="G478" s="14"/>
      <c r="H478" s="15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>
      <c r="A479" s="9"/>
      <c r="B479" s="9"/>
      <c r="C479" s="14"/>
      <c r="D479" s="14"/>
      <c r="E479" s="14"/>
      <c r="F479" s="14"/>
      <c r="G479" s="14"/>
      <c r="H479" s="15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>
      <c r="A480" s="9"/>
      <c r="B480" s="9"/>
      <c r="C480" s="14"/>
      <c r="D480" s="14"/>
      <c r="E480" s="14"/>
      <c r="F480" s="14"/>
      <c r="G480" s="14"/>
      <c r="H480" s="15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>
      <c r="A481" s="9"/>
      <c r="B481" s="9"/>
      <c r="C481" s="14"/>
      <c r="D481" s="14"/>
      <c r="E481" s="14"/>
      <c r="F481" s="14"/>
      <c r="G481" s="14"/>
      <c r="H481" s="15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>
      <c r="A482" s="9"/>
      <c r="B482" s="9"/>
      <c r="C482" s="14"/>
      <c r="D482" s="14"/>
      <c r="E482" s="14"/>
      <c r="F482" s="14"/>
      <c r="G482" s="14"/>
      <c r="H482" s="15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>
      <c r="A483" s="9"/>
      <c r="B483" s="9"/>
      <c r="C483" s="14"/>
      <c r="D483" s="14"/>
      <c r="E483" s="14"/>
      <c r="F483" s="14"/>
      <c r="G483" s="14"/>
      <c r="H483" s="15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>
      <c r="A484" s="9"/>
      <c r="B484" s="9"/>
      <c r="C484" s="14"/>
      <c r="D484" s="14"/>
      <c r="E484" s="14"/>
      <c r="F484" s="14"/>
      <c r="G484" s="14"/>
      <c r="H484" s="15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>
      <c r="A485" s="9"/>
      <c r="B485" s="9"/>
      <c r="C485" s="14"/>
      <c r="D485" s="14"/>
      <c r="E485" s="14"/>
      <c r="F485" s="14"/>
      <c r="G485" s="14"/>
      <c r="H485" s="15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>
      <c r="A486" s="9"/>
      <c r="B486" s="9"/>
      <c r="C486" s="14"/>
      <c r="D486" s="14"/>
      <c r="E486" s="14"/>
      <c r="F486" s="14"/>
      <c r="G486" s="14"/>
      <c r="H486" s="15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>
      <c r="A487" s="9"/>
      <c r="B487" s="9"/>
      <c r="C487" s="14"/>
      <c r="D487" s="14"/>
      <c r="E487" s="14"/>
      <c r="F487" s="14"/>
      <c r="G487" s="14"/>
      <c r="H487" s="15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>
      <c r="A488" s="9"/>
      <c r="B488" s="9"/>
      <c r="C488" s="14"/>
      <c r="D488" s="14"/>
      <c r="E488" s="14"/>
      <c r="F488" s="14"/>
      <c r="G488" s="14"/>
      <c r="H488" s="15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>
      <c r="A489" s="9"/>
      <c r="B489" s="9"/>
      <c r="C489" s="14"/>
      <c r="D489" s="14"/>
      <c r="E489" s="14"/>
      <c r="F489" s="14"/>
      <c r="G489" s="14"/>
      <c r="H489" s="15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>
      <c r="A490" s="9"/>
      <c r="B490" s="9"/>
      <c r="C490" s="14"/>
      <c r="D490" s="14"/>
      <c r="E490" s="14"/>
      <c r="F490" s="14"/>
      <c r="G490" s="14"/>
      <c r="H490" s="15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>
      <c r="A491" s="9"/>
      <c r="B491" s="9"/>
      <c r="C491" s="14"/>
      <c r="D491" s="14"/>
      <c r="E491" s="14"/>
      <c r="F491" s="14"/>
      <c r="G491" s="14"/>
      <c r="H491" s="15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>
      <c r="A492" s="9"/>
      <c r="B492" s="9"/>
      <c r="C492" s="14"/>
      <c r="D492" s="14"/>
      <c r="E492" s="14"/>
      <c r="F492" s="14"/>
      <c r="G492" s="14"/>
      <c r="H492" s="15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>
      <c r="A493" s="9"/>
      <c r="B493" s="9"/>
      <c r="C493" s="14"/>
      <c r="D493" s="14"/>
      <c r="E493" s="14"/>
      <c r="F493" s="14"/>
      <c r="G493" s="14"/>
      <c r="H493" s="15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>
      <c r="A494" s="9"/>
      <c r="B494" s="9"/>
      <c r="C494" s="14"/>
      <c r="D494" s="14"/>
      <c r="E494" s="14"/>
      <c r="F494" s="14"/>
      <c r="G494" s="14"/>
      <c r="H494" s="15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>
      <c r="A495" s="9"/>
      <c r="B495" s="9"/>
      <c r="C495" s="14"/>
      <c r="D495" s="14"/>
      <c r="E495" s="14"/>
      <c r="F495" s="14"/>
      <c r="G495" s="14"/>
      <c r="H495" s="15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>
      <c r="A496" s="9"/>
      <c r="B496" s="9"/>
      <c r="C496" s="14"/>
      <c r="D496" s="14"/>
      <c r="E496" s="14"/>
      <c r="F496" s="14"/>
      <c r="G496" s="14"/>
      <c r="H496" s="15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>
      <c r="A497" s="9"/>
      <c r="B497" s="9"/>
      <c r="C497" s="14"/>
      <c r="D497" s="14"/>
      <c r="E497" s="14"/>
      <c r="F497" s="14"/>
      <c r="G497" s="14"/>
      <c r="H497" s="15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>
      <c r="A498" s="9"/>
      <c r="B498" s="9"/>
      <c r="C498" s="14"/>
      <c r="D498" s="14"/>
      <c r="E498" s="14"/>
      <c r="F498" s="14"/>
      <c r="G498" s="14"/>
      <c r="H498" s="15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>
      <c r="A499" s="9"/>
      <c r="B499" s="9"/>
      <c r="C499" s="14"/>
      <c r="D499" s="14"/>
      <c r="E499" s="14"/>
      <c r="F499" s="14"/>
      <c r="G499" s="14"/>
      <c r="H499" s="15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>
      <c r="A500" s="9"/>
      <c r="B500" s="9"/>
      <c r="C500" s="14"/>
      <c r="D500" s="14"/>
      <c r="E500" s="14"/>
      <c r="F500" s="14"/>
      <c r="G500" s="14"/>
      <c r="H500" s="15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>
      <c r="A501" s="9"/>
      <c r="B501" s="9"/>
      <c r="C501" s="14"/>
      <c r="D501" s="14"/>
      <c r="E501" s="14"/>
      <c r="F501" s="14"/>
      <c r="G501" s="14"/>
      <c r="H501" s="15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>
      <c r="A502" s="9"/>
      <c r="B502" s="9"/>
      <c r="C502" s="14"/>
      <c r="D502" s="14"/>
      <c r="E502" s="14"/>
      <c r="F502" s="14"/>
      <c r="G502" s="14"/>
      <c r="H502" s="15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>
      <c r="A503" s="9"/>
      <c r="B503" s="9"/>
      <c r="C503" s="14"/>
      <c r="D503" s="14"/>
      <c r="E503" s="14"/>
      <c r="F503" s="14"/>
      <c r="G503" s="14"/>
      <c r="H503" s="15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>
      <c r="A504" s="9"/>
      <c r="B504" s="9"/>
      <c r="C504" s="14"/>
      <c r="D504" s="14"/>
      <c r="E504" s="14"/>
      <c r="F504" s="14"/>
      <c r="G504" s="14"/>
      <c r="H504" s="15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>
      <c r="A505" s="9"/>
      <c r="B505" s="9"/>
      <c r="C505" s="14"/>
      <c r="D505" s="14"/>
      <c r="E505" s="14"/>
      <c r="F505" s="14"/>
      <c r="G505" s="14"/>
      <c r="H505" s="15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>
      <c r="A506" s="9"/>
      <c r="B506" s="9"/>
      <c r="C506" s="14"/>
      <c r="D506" s="14"/>
      <c r="E506" s="14"/>
      <c r="F506" s="14"/>
      <c r="G506" s="14"/>
      <c r="H506" s="15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>
      <c r="A507" s="9"/>
      <c r="B507" s="9"/>
      <c r="C507" s="14"/>
      <c r="D507" s="14"/>
      <c r="E507" s="14"/>
      <c r="F507" s="14"/>
      <c r="G507" s="14"/>
      <c r="H507" s="15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>
      <c r="A508" s="9"/>
      <c r="B508" s="9"/>
      <c r="C508" s="14"/>
      <c r="D508" s="14"/>
      <c r="E508" s="14"/>
      <c r="F508" s="14"/>
      <c r="G508" s="14"/>
      <c r="H508" s="15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>
      <c r="A509" s="9"/>
      <c r="B509" s="9"/>
      <c r="C509" s="14"/>
      <c r="D509" s="14"/>
      <c r="E509" s="14"/>
      <c r="F509" s="14"/>
      <c r="G509" s="14"/>
      <c r="H509" s="15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>
      <c r="A510" s="9"/>
      <c r="B510" s="9"/>
      <c r="C510" s="14"/>
      <c r="D510" s="14"/>
      <c r="E510" s="14"/>
      <c r="F510" s="14"/>
      <c r="G510" s="14"/>
      <c r="H510" s="15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>
      <c r="A511" s="9"/>
      <c r="B511" s="9"/>
      <c r="C511" s="14"/>
      <c r="D511" s="14"/>
      <c r="E511" s="14"/>
      <c r="F511" s="14"/>
      <c r="G511" s="14"/>
      <c r="H511" s="15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>
      <c r="A512" s="9"/>
      <c r="B512" s="9"/>
      <c r="C512" s="14"/>
      <c r="D512" s="14"/>
      <c r="E512" s="14"/>
      <c r="F512" s="14"/>
      <c r="G512" s="14"/>
      <c r="H512" s="15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>
      <c r="A513" s="9"/>
      <c r="B513" s="9"/>
      <c r="C513" s="14"/>
      <c r="D513" s="14"/>
      <c r="E513" s="14"/>
      <c r="F513" s="14"/>
      <c r="G513" s="14"/>
      <c r="H513" s="15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>
      <c r="A514" s="9"/>
      <c r="B514" s="9"/>
      <c r="C514" s="14"/>
      <c r="D514" s="14"/>
      <c r="E514" s="14"/>
      <c r="F514" s="14"/>
      <c r="G514" s="14"/>
      <c r="H514" s="15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>
      <c r="A515" s="9"/>
      <c r="B515" s="9"/>
      <c r="C515" s="14"/>
      <c r="D515" s="14"/>
      <c r="E515" s="14"/>
      <c r="F515" s="14"/>
      <c r="G515" s="14"/>
      <c r="H515" s="15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>
      <c r="A516" s="9"/>
      <c r="B516" s="9"/>
      <c r="C516" s="14"/>
      <c r="D516" s="14"/>
      <c r="E516" s="14"/>
      <c r="F516" s="14"/>
      <c r="G516" s="14"/>
      <c r="H516" s="15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>
      <c r="A517" s="9"/>
      <c r="B517" s="9"/>
      <c r="C517" s="14"/>
      <c r="D517" s="14"/>
      <c r="E517" s="14"/>
      <c r="F517" s="14"/>
      <c r="G517" s="14"/>
      <c r="H517" s="15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>
      <c r="A518" s="9"/>
      <c r="B518" s="9"/>
      <c r="C518" s="14"/>
      <c r="D518" s="14"/>
      <c r="E518" s="14"/>
      <c r="F518" s="14"/>
      <c r="G518" s="14"/>
      <c r="H518" s="15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>
      <c r="A519" s="9"/>
      <c r="B519" s="9"/>
      <c r="C519" s="14"/>
      <c r="D519" s="14"/>
      <c r="E519" s="14"/>
      <c r="F519" s="14"/>
      <c r="G519" s="14"/>
      <c r="H519" s="15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>
      <c r="A520" s="9"/>
      <c r="B520" s="9"/>
      <c r="C520" s="14"/>
      <c r="D520" s="14"/>
      <c r="E520" s="14"/>
      <c r="F520" s="14"/>
      <c r="G520" s="14"/>
      <c r="H520" s="15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>
      <c r="A521" s="9"/>
      <c r="B521" s="9"/>
      <c r="C521" s="14"/>
      <c r="D521" s="14"/>
      <c r="E521" s="14"/>
      <c r="F521" s="14"/>
      <c r="G521" s="14"/>
      <c r="H521" s="15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>
      <c r="A522" s="9"/>
      <c r="B522" s="9"/>
      <c r="C522" s="14"/>
      <c r="D522" s="14"/>
      <c r="E522" s="14"/>
      <c r="F522" s="14"/>
      <c r="G522" s="14"/>
      <c r="H522" s="15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>
      <c r="A523" s="9"/>
      <c r="B523" s="9"/>
      <c r="C523" s="14"/>
      <c r="D523" s="14"/>
      <c r="E523" s="14"/>
      <c r="F523" s="14"/>
      <c r="G523" s="14"/>
      <c r="H523" s="15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>
      <c r="A524" s="9"/>
      <c r="B524" s="9"/>
      <c r="C524" s="14"/>
      <c r="D524" s="14"/>
      <c r="E524" s="14"/>
      <c r="F524" s="14"/>
      <c r="G524" s="14"/>
      <c r="H524" s="15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>
      <c r="A525" s="9"/>
      <c r="B525" s="9"/>
      <c r="C525" s="14"/>
      <c r="D525" s="14"/>
      <c r="E525" s="14"/>
      <c r="F525" s="14"/>
      <c r="G525" s="14"/>
      <c r="H525" s="15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>
      <c r="A526" s="9"/>
      <c r="B526" s="9"/>
      <c r="C526" s="14"/>
      <c r="D526" s="14"/>
      <c r="E526" s="14"/>
      <c r="F526" s="14"/>
      <c r="G526" s="14"/>
      <c r="H526" s="15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>
      <c r="A527" s="9"/>
      <c r="B527" s="9"/>
      <c r="C527" s="14"/>
      <c r="D527" s="14"/>
      <c r="E527" s="14"/>
      <c r="F527" s="14"/>
      <c r="G527" s="14"/>
      <c r="H527" s="15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>
      <c r="A528" s="9"/>
      <c r="B528" s="9"/>
      <c r="C528" s="14"/>
      <c r="D528" s="14"/>
      <c r="E528" s="14"/>
      <c r="F528" s="14"/>
      <c r="G528" s="14"/>
      <c r="H528" s="15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>
      <c r="A529" s="9"/>
      <c r="B529" s="9"/>
      <c r="C529" s="14"/>
      <c r="D529" s="14"/>
      <c r="E529" s="14"/>
      <c r="F529" s="14"/>
      <c r="G529" s="14"/>
      <c r="H529" s="15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>
      <c r="A530" s="9"/>
      <c r="B530" s="9"/>
      <c r="C530" s="14"/>
      <c r="D530" s="14"/>
      <c r="E530" s="14"/>
      <c r="F530" s="14"/>
      <c r="G530" s="14"/>
      <c r="H530" s="15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>
      <c r="A531" s="9"/>
      <c r="B531" s="9"/>
      <c r="C531" s="14"/>
      <c r="D531" s="14"/>
      <c r="E531" s="14"/>
      <c r="F531" s="14"/>
      <c r="G531" s="14"/>
      <c r="H531" s="15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>
      <c r="A532" s="9"/>
      <c r="B532" s="9"/>
      <c r="C532" s="14"/>
      <c r="D532" s="14"/>
      <c r="E532" s="14"/>
      <c r="F532" s="14"/>
      <c r="G532" s="14"/>
      <c r="H532" s="15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>
      <c r="A533" s="9"/>
      <c r="B533" s="9"/>
      <c r="C533" s="14"/>
      <c r="D533" s="14"/>
      <c r="E533" s="14"/>
      <c r="F533" s="14"/>
      <c r="G533" s="14"/>
      <c r="H533" s="15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>
      <c r="A534" s="9"/>
      <c r="B534" s="9"/>
      <c r="C534" s="14"/>
      <c r="D534" s="14"/>
      <c r="E534" s="14"/>
      <c r="F534" s="14"/>
      <c r="G534" s="14"/>
      <c r="H534" s="15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>
      <c r="A535" s="9"/>
      <c r="B535" s="9"/>
      <c r="C535" s="14"/>
      <c r="D535" s="14"/>
      <c r="E535" s="14"/>
      <c r="F535" s="14"/>
      <c r="G535" s="14"/>
      <c r="H535" s="15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>
      <c r="A536" s="9"/>
      <c r="B536" s="9"/>
      <c r="C536" s="14"/>
      <c r="D536" s="14"/>
      <c r="E536" s="14"/>
      <c r="F536" s="14"/>
      <c r="G536" s="14"/>
      <c r="H536" s="15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>
      <c r="A537" s="9"/>
      <c r="B537" s="9"/>
      <c r="C537" s="14"/>
      <c r="D537" s="14"/>
      <c r="E537" s="14"/>
      <c r="F537" s="14"/>
      <c r="G537" s="14"/>
      <c r="H537" s="15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>
      <c r="A538" s="9"/>
      <c r="B538" s="9"/>
      <c r="C538" s="14"/>
      <c r="D538" s="14"/>
      <c r="E538" s="14"/>
      <c r="F538" s="14"/>
      <c r="G538" s="14"/>
      <c r="H538" s="15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>
      <c r="A539" s="9"/>
      <c r="B539" s="9"/>
      <c r="C539" s="14"/>
      <c r="D539" s="14"/>
      <c r="E539" s="14"/>
      <c r="F539" s="14"/>
      <c r="G539" s="14"/>
      <c r="H539" s="15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>
      <c r="A540" s="9"/>
      <c r="B540" s="9"/>
      <c r="C540" s="14"/>
      <c r="D540" s="14"/>
      <c r="E540" s="14"/>
      <c r="F540" s="14"/>
      <c r="G540" s="14"/>
      <c r="H540" s="15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>
      <c r="A541" s="9"/>
      <c r="B541" s="9"/>
      <c r="C541" s="14"/>
      <c r="D541" s="14"/>
      <c r="E541" s="14"/>
      <c r="F541" s="14"/>
      <c r="G541" s="14"/>
      <c r="H541" s="15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>
      <c r="A542" s="9"/>
      <c r="B542" s="9"/>
      <c r="C542" s="14"/>
      <c r="D542" s="14"/>
      <c r="E542" s="14"/>
      <c r="F542" s="14"/>
      <c r="G542" s="14"/>
      <c r="H542" s="15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>
      <c r="A543" s="9"/>
      <c r="B543" s="9"/>
      <c r="C543" s="14"/>
      <c r="D543" s="14"/>
      <c r="E543" s="14"/>
      <c r="F543" s="14"/>
      <c r="G543" s="14"/>
      <c r="H543" s="1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>
      <c r="A544" s="9"/>
      <c r="B544" s="9"/>
      <c r="C544" s="14"/>
      <c r="D544" s="14"/>
      <c r="E544" s="14"/>
      <c r="F544" s="14"/>
      <c r="G544" s="14"/>
      <c r="H544" s="15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>
      <c r="A545" s="9"/>
      <c r="B545" s="9"/>
      <c r="C545" s="14"/>
      <c r="D545" s="14"/>
      <c r="E545" s="14"/>
      <c r="F545" s="14"/>
      <c r="G545" s="14"/>
      <c r="H545" s="15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>
      <c r="A546" s="9"/>
      <c r="B546" s="9"/>
      <c r="C546" s="14"/>
      <c r="D546" s="14"/>
      <c r="E546" s="14"/>
      <c r="F546" s="14"/>
      <c r="G546" s="14"/>
      <c r="H546" s="15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>
      <c r="A547" s="9"/>
      <c r="B547" s="9"/>
      <c r="C547" s="14"/>
      <c r="D547" s="14"/>
      <c r="E547" s="14"/>
      <c r="F547" s="14"/>
      <c r="G547" s="14"/>
      <c r="H547" s="15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>
      <c r="A548" s="9"/>
      <c r="B548" s="9"/>
      <c r="C548" s="14"/>
      <c r="D548" s="14"/>
      <c r="E548" s="14"/>
      <c r="F548" s="14"/>
      <c r="G548" s="14"/>
      <c r="H548" s="15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>
      <c r="A549" s="9"/>
      <c r="B549" s="9"/>
      <c r="C549" s="14"/>
      <c r="D549" s="14"/>
      <c r="E549" s="14"/>
      <c r="F549" s="14"/>
      <c r="G549" s="14"/>
      <c r="H549" s="15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>
      <c r="A550" s="9"/>
      <c r="B550" s="9"/>
      <c r="C550" s="14"/>
      <c r="D550" s="14"/>
      <c r="E550" s="14"/>
      <c r="F550" s="14"/>
      <c r="G550" s="14"/>
      <c r="H550" s="15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>
      <c r="A551" s="9"/>
      <c r="B551" s="9"/>
      <c r="C551" s="14"/>
      <c r="D551" s="14"/>
      <c r="E551" s="14"/>
      <c r="F551" s="14"/>
      <c r="G551" s="14"/>
      <c r="H551" s="15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>
      <c r="A552" s="9"/>
      <c r="B552" s="9"/>
      <c r="C552" s="14"/>
      <c r="D552" s="14"/>
      <c r="E552" s="14"/>
      <c r="F552" s="14"/>
      <c r="G552" s="14"/>
      <c r="H552" s="15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>
      <c r="A553" s="9"/>
      <c r="B553" s="9"/>
      <c r="C553" s="14"/>
      <c r="D553" s="14"/>
      <c r="E553" s="14"/>
      <c r="F553" s="14"/>
      <c r="G553" s="14"/>
      <c r="H553" s="15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>
      <c r="A554" s="9"/>
      <c r="B554" s="9"/>
      <c r="C554" s="14"/>
      <c r="D554" s="14"/>
      <c r="E554" s="14"/>
      <c r="F554" s="14"/>
      <c r="G554" s="14"/>
      <c r="H554" s="15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>
      <c r="A555" s="9"/>
      <c r="B555" s="9"/>
      <c r="C555" s="14"/>
      <c r="D555" s="14"/>
      <c r="E555" s="14"/>
      <c r="F555" s="14"/>
      <c r="G555" s="14"/>
      <c r="H555" s="15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>
      <c r="A556" s="9"/>
      <c r="B556" s="9"/>
      <c r="C556" s="14"/>
      <c r="D556" s="14"/>
      <c r="E556" s="14"/>
      <c r="F556" s="14"/>
      <c r="G556" s="14"/>
      <c r="H556" s="15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>
      <c r="A557" s="9"/>
      <c r="B557" s="9"/>
      <c r="C557" s="14"/>
      <c r="D557" s="14"/>
      <c r="E557" s="14"/>
      <c r="F557" s="14"/>
      <c r="G557" s="14"/>
      <c r="H557" s="15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>
      <c r="A558" s="9"/>
      <c r="B558" s="9"/>
      <c r="C558" s="14"/>
      <c r="D558" s="14"/>
      <c r="E558" s="14"/>
      <c r="F558" s="14"/>
      <c r="G558" s="14"/>
      <c r="H558" s="15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>
      <c r="A559" s="9"/>
      <c r="B559" s="9"/>
      <c r="C559" s="14"/>
      <c r="D559" s="14"/>
      <c r="E559" s="14"/>
      <c r="F559" s="14"/>
      <c r="G559" s="14"/>
      <c r="H559" s="15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>
      <c r="A560" s="9"/>
      <c r="B560" s="9"/>
      <c r="C560" s="14"/>
      <c r="D560" s="14"/>
      <c r="E560" s="14"/>
      <c r="F560" s="14"/>
      <c r="G560" s="14"/>
      <c r="H560" s="15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>
      <c r="A561" s="9"/>
      <c r="B561" s="9"/>
      <c r="C561" s="14"/>
      <c r="D561" s="14"/>
      <c r="E561" s="14"/>
      <c r="F561" s="14"/>
      <c r="G561" s="14"/>
      <c r="H561" s="15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>
      <c r="A562" s="9"/>
      <c r="B562" s="9"/>
      <c r="C562" s="14"/>
      <c r="D562" s="14"/>
      <c r="E562" s="14"/>
      <c r="F562" s="14"/>
      <c r="G562" s="14"/>
      <c r="H562" s="15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>
      <c r="A563" s="9"/>
      <c r="B563" s="9"/>
      <c r="C563" s="14"/>
      <c r="D563" s="14"/>
      <c r="E563" s="14"/>
      <c r="F563" s="14"/>
      <c r="G563" s="14"/>
      <c r="H563" s="15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>
      <c r="A564" s="9"/>
      <c r="B564" s="9"/>
      <c r="C564" s="14"/>
      <c r="D564" s="14"/>
      <c r="E564" s="14"/>
      <c r="F564" s="14"/>
      <c r="G564" s="14"/>
      <c r="H564" s="15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>
      <c r="A565" s="9"/>
      <c r="B565" s="9"/>
      <c r="C565" s="14"/>
      <c r="D565" s="14"/>
      <c r="E565" s="14"/>
      <c r="F565" s="14"/>
      <c r="G565" s="14"/>
      <c r="H565" s="15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>
      <c r="A566" s="9"/>
      <c r="B566" s="9"/>
      <c r="C566" s="14"/>
      <c r="D566" s="14"/>
      <c r="E566" s="14"/>
      <c r="F566" s="14"/>
      <c r="G566" s="14"/>
      <c r="H566" s="15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>
      <c r="A567" s="9"/>
      <c r="B567" s="9"/>
      <c r="C567" s="14"/>
      <c r="D567" s="14"/>
      <c r="E567" s="14"/>
      <c r="F567" s="14"/>
      <c r="G567" s="14"/>
      <c r="H567" s="15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>
      <c r="A568" s="9"/>
      <c r="B568" s="9"/>
      <c r="C568" s="14"/>
      <c r="D568" s="14"/>
      <c r="E568" s="14"/>
      <c r="F568" s="14"/>
      <c r="G568" s="14"/>
      <c r="H568" s="15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>
      <c r="A569" s="9"/>
      <c r="B569" s="9"/>
      <c r="C569" s="14"/>
      <c r="D569" s="14"/>
      <c r="E569" s="14"/>
      <c r="F569" s="14"/>
      <c r="G569" s="14"/>
      <c r="H569" s="15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>
      <c r="A570" s="9"/>
      <c r="B570" s="9"/>
      <c r="C570" s="14"/>
      <c r="D570" s="14"/>
      <c r="E570" s="14"/>
      <c r="F570" s="14"/>
      <c r="G570" s="14"/>
      <c r="H570" s="15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>
      <c r="A571" s="9"/>
      <c r="B571" s="9"/>
      <c r="C571" s="14"/>
      <c r="D571" s="14"/>
      <c r="E571" s="14"/>
      <c r="F571" s="14"/>
      <c r="G571" s="14"/>
      <c r="H571" s="15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>
      <c r="A572" s="9"/>
      <c r="B572" s="9"/>
      <c r="C572" s="14"/>
      <c r="D572" s="14"/>
      <c r="E572" s="14"/>
      <c r="F572" s="14"/>
      <c r="G572" s="14"/>
      <c r="H572" s="15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>
      <c r="A573" s="9"/>
      <c r="B573" s="9"/>
      <c r="C573" s="14"/>
      <c r="D573" s="14"/>
      <c r="E573" s="14"/>
      <c r="F573" s="14"/>
      <c r="G573" s="14"/>
      <c r="H573" s="15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>
      <c r="A574" s="9"/>
      <c r="B574" s="9"/>
      <c r="C574" s="14"/>
      <c r="D574" s="14"/>
      <c r="E574" s="14"/>
      <c r="F574" s="14"/>
      <c r="G574" s="14"/>
      <c r="H574" s="15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>
      <c r="A575" s="9"/>
      <c r="B575" s="9"/>
      <c r="C575" s="14"/>
      <c r="D575" s="14"/>
      <c r="E575" s="14"/>
      <c r="F575" s="14"/>
      <c r="G575" s="14"/>
      <c r="H575" s="15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>
      <c r="A576" s="9"/>
      <c r="B576" s="9"/>
      <c r="C576" s="14"/>
      <c r="D576" s="14"/>
      <c r="E576" s="14"/>
      <c r="F576" s="14"/>
      <c r="G576" s="14"/>
      <c r="H576" s="15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>
      <c r="A577" s="9"/>
      <c r="B577" s="9"/>
      <c r="C577" s="14"/>
      <c r="D577" s="14"/>
      <c r="E577" s="14"/>
      <c r="F577" s="14"/>
      <c r="G577" s="14"/>
      <c r="H577" s="15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>
      <c r="A578" s="9"/>
      <c r="B578" s="9"/>
      <c r="C578" s="14"/>
      <c r="D578" s="14"/>
      <c r="E578" s="14"/>
      <c r="F578" s="14"/>
      <c r="G578" s="14"/>
      <c r="H578" s="15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>
      <c r="A579" s="9"/>
      <c r="B579" s="9"/>
      <c r="C579" s="14"/>
      <c r="D579" s="14"/>
      <c r="E579" s="14"/>
      <c r="F579" s="14"/>
      <c r="G579" s="14"/>
      <c r="H579" s="15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>
      <c r="A580" s="9"/>
      <c r="B580" s="9"/>
      <c r="C580" s="14"/>
      <c r="D580" s="14"/>
      <c r="E580" s="14"/>
      <c r="F580" s="14"/>
      <c r="G580" s="14"/>
      <c r="H580" s="15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>
      <c r="A581" s="9"/>
      <c r="B581" s="9"/>
      <c r="C581" s="14"/>
      <c r="D581" s="14"/>
      <c r="E581" s="14"/>
      <c r="F581" s="14"/>
      <c r="G581" s="14"/>
      <c r="H581" s="15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>
      <c r="A582" s="9"/>
      <c r="B582" s="9"/>
      <c r="C582" s="14"/>
      <c r="D582" s="14"/>
      <c r="E582" s="14"/>
      <c r="F582" s="14"/>
      <c r="G582" s="14"/>
      <c r="H582" s="15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>
      <c r="A583" s="9"/>
      <c r="B583" s="9"/>
      <c r="C583" s="14"/>
      <c r="D583" s="14"/>
      <c r="E583" s="14"/>
      <c r="F583" s="14"/>
      <c r="G583" s="14"/>
      <c r="H583" s="15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>
      <c r="A584" s="9"/>
      <c r="B584" s="9"/>
      <c r="C584" s="14"/>
      <c r="D584" s="14"/>
      <c r="E584" s="14"/>
      <c r="F584" s="14"/>
      <c r="G584" s="14"/>
      <c r="H584" s="15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>
      <c r="A585" s="9"/>
      <c r="B585" s="9"/>
      <c r="C585" s="14"/>
      <c r="D585" s="14"/>
      <c r="E585" s="14"/>
      <c r="F585" s="14"/>
      <c r="G585" s="14"/>
      <c r="H585" s="15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>
      <c r="A586" s="9"/>
      <c r="B586" s="9"/>
      <c r="C586" s="14"/>
      <c r="D586" s="14"/>
      <c r="E586" s="14"/>
      <c r="F586" s="14"/>
      <c r="G586" s="14"/>
      <c r="H586" s="15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>
      <c r="A587" s="9"/>
      <c r="B587" s="9"/>
      <c r="C587" s="14"/>
      <c r="D587" s="14"/>
      <c r="E587" s="14"/>
      <c r="F587" s="14"/>
      <c r="G587" s="14"/>
      <c r="H587" s="15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>
      <c r="A588" s="9"/>
      <c r="B588" s="9"/>
      <c r="C588" s="14"/>
      <c r="D588" s="14"/>
      <c r="E588" s="14"/>
      <c r="F588" s="14"/>
      <c r="G588" s="14"/>
      <c r="H588" s="15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>
      <c r="A589" s="9"/>
      <c r="B589" s="9"/>
      <c r="C589" s="14"/>
      <c r="D589" s="14"/>
      <c r="E589" s="14"/>
      <c r="F589" s="14"/>
      <c r="G589" s="14"/>
      <c r="H589" s="15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>
      <c r="A590" s="9"/>
      <c r="B590" s="9"/>
      <c r="C590" s="14"/>
      <c r="D590" s="14"/>
      <c r="E590" s="14"/>
      <c r="F590" s="14"/>
      <c r="G590" s="14"/>
      <c r="H590" s="15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>
      <c r="A591" s="9"/>
      <c r="B591" s="9"/>
      <c r="C591" s="14"/>
      <c r="D591" s="14"/>
      <c r="E591" s="14"/>
      <c r="F591" s="14"/>
      <c r="G591" s="14"/>
      <c r="H591" s="15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>
      <c r="A592" s="9"/>
      <c r="B592" s="9"/>
      <c r="C592" s="14"/>
      <c r="D592" s="14"/>
      <c r="E592" s="14"/>
      <c r="F592" s="14"/>
      <c r="G592" s="14"/>
      <c r="H592" s="15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>
      <c r="A593" s="9"/>
      <c r="B593" s="9"/>
      <c r="C593" s="14"/>
      <c r="D593" s="14"/>
      <c r="E593" s="14"/>
      <c r="F593" s="14"/>
      <c r="G593" s="14"/>
      <c r="H593" s="15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>
      <c r="A594" s="9"/>
      <c r="B594" s="9"/>
      <c r="C594" s="14"/>
      <c r="D594" s="14"/>
      <c r="E594" s="14"/>
      <c r="F594" s="14"/>
      <c r="G594" s="14"/>
      <c r="H594" s="15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>
      <c r="A595" s="9"/>
      <c r="B595" s="9"/>
      <c r="C595" s="14"/>
      <c r="D595" s="14"/>
      <c r="E595" s="14"/>
      <c r="F595" s="14"/>
      <c r="G595" s="14"/>
      <c r="H595" s="15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>
      <c r="A596" s="9"/>
      <c r="B596" s="9"/>
      <c r="C596" s="14"/>
      <c r="D596" s="14"/>
      <c r="E596" s="14"/>
      <c r="F596" s="14"/>
      <c r="G596" s="14"/>
      <c r="H596" s="15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>
      <c r="A597" s="9"/>
      <c r="B597" s="9"/>
      <c r="C597" s="14"/>
      <c r="D597" s="14"/>
      <c r="E597" s="14"/>
      <c r="F597" s="14"/>
      <c r="G597" s="14"/>
      <c r="H597" s="15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>
      <c r="A598" s="9"/>
      <c r="B598" s="9"/>
      <c r="C598" s="14"/>
      <c r="D598" s="14"/>
      <c r="E598" s="14"/>
      <c r="F598" s="14"/>
      <c r="G598" s="14"/>
      <c r="H598" s="15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>
      <c r="A599" s="9"/>
      <c r="B599" s="9"/>
      <c r="C599" s="14"/>
      <c r="D599" s="14"/>
      <c r="E599" s="14"/>
      <c r="F599" s="14"/>
      <c r="G599" s="14"/>
      <c r="H599" s="15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>
      <c r="A600" s="9"/>
      <c r="B600" s="9"/>
      <c r="C600" s="14"/>
      <c r="D600" s="14"/>
      <c r="E600" s="14"/>
      <c r="F600" s="14"/>
      <c r="G600" s="14"/>
      <c r="H600" s="15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>
      <c r="A601" s="9"/>
      <c r="B601" s="9"/>
      <c r="C601" s="14"/>
      <c r="D601" s="14"/>
      <c r="E601" s="14"/>
      <c r="F601" s="14"/>
      <c r="G601" s="14"/>
      <c r="H601" s="15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>
      <c r="A602" s="9"/>
      <c r="B602" s="9"/>
      <c r="C602" s="14"/>
      <c r="D602" s="14"/>
      <c r="E602" s="14"/>
      <c r="F602" s="14"/>
      <c r="G602" s="14"/>
      <c r="H602" s="15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>
      <c r="A603" s="9"/>
      <c r="B603" s="9"/>
      <c r="C603" s="14"/>
      <c r="D603" s="14"/>
      <c r="E603" s="14"/>
      <c r="F603" s="14"/>
      <c r="G603" s="14"/>
      <c r="H603" s="15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>
      <c r="A604" s="9"/>
      <c r="B604" s="9"/>
      <c r="C604" s="14"/>
      <c r="D604" s="14"/>
      <c r="E604" s="14"/>
      <c r="F604" s="14"/>
      <c r="G604" s="14"/>
      <c r="H604" s="15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>
      <c r="A605" s="9"/>
      <c r="B605" s="9"/>
      <c r="C605" s="14"/>
      <c r="D605" s="14"/>
      <c r="E605" s="14"/>
      <c r="F605" s="14"/>
      <c r="G605" s="14"/>
      <c r="H605" s="15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>
      <c r="A606" s="9"/>
      <c r="B606" s="9"/>
      <c r="C606" s="14"/>
      <c r="D606" s="14"/>
      <c r="E606" s="14"/>
      <c r="F606" s="14"/>
      <c r="G606" s="14"/>
      <c r="H606" s="15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>
      <c r="A607" s="9"/>
      <c r="B607" s="9"/>
      <c r="C607" s="14"/>
      <c r="D607" s="14"/>
      <c r="E607" s="14"/>
      <c r="F607" s="14"/>
      <c r="G607" s="14"/>
      <c r="H607" s="15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>
      <c r="A608" s="9"/>
      <c r="B608" s="9"/>
      <c r="C608" s="14"/>
      <c r="D608" s="14"/>
      <c r="E608" s="14"/>
      <c r="F608" s="14"/>
      <c r="G608" s="14"/>
      <c r="H608" s="15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>
      <c r="A609" s="9"/>
      <c r="B609" s="9"/>
      <c r="C609" s="14"/>
      <c r="D609" s="14"/>
      <c r="E609" s="14"/>
      <c r="F609" s="14"/>
      <c r="G609" s="14"/>
      <c r="H609" s="15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>
      <c r="A610" s="9"/>
      <c r="B610" s="9"/>
      <c r="C610" s="14"/>
      <c r="D610" s="14"/>
      <c r="E610" s="14"/>
      <c r="F610" s="14"/>
      <c r="G610" s="14"/>
      <c r="H610" s="15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>
      <c r="A611" s="9"/>
      <c r="B611" s="9"/>
      <c r="C611" s="14"/>
      <c r="D611" s="14"/>
      <c r="E611" s="14"/>
      <c r="F611" s="14"/>
      <c r="G611" s="14"/>
      <c r="H611" s="15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>
      <c r="A612" s="9"/>
      <c r="B612" s="9"/>
      <c r="C612" s="14"/>
      <c r="D612" s="14"/>
      <c r="E612" s="14"/>
      <c r="F612" s="14"/>
      <c r="G612" s="14"/>
      <c r="H612" s="15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>
      <c r="A613" s="9"/>
      <c r="B613" s="9"/>
      <c r="C613" s="14"/>
      <c r="D613" s="14"/>
      <c r="E613" s="14"/>
      <c r="F613" s="14"/>
      <c r="G613" s="14"/>
      <c r="H613" s="15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>
      <c r="A614" s="9"/>
      <c r="B614" s="9"/>
      <c r="C614" s="14"/>
      <c r="D614" s="14"/>
      <c r="E614" s="14"/>
      <c r="F614" s="14"/>
      <c r="G614" s="14"/>
      <c r="H614" s="15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>
      <c r="A615" s="9"/>
      <c r="B615" s="9"/>
      <c r="C615" s="14"/>
      <c r="D615" s="14"/>
      <c r="E615" s="14"/>
      <c r="F615" s="14"/>
      <c r="G615" s="14"/>
      <c r="H615" s="15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>
      <c r="A616" s="9"/>
      <c r="B616" s="9"/>
      <c r="C616" s="14"/>
      <c r="D616" s="14"/>
      <c r="E616" s="14"/>
      <c r="F616" s="14"/>
      <c r="G616" s="14"/>
      <c r="H616" s="15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>
      <c r="A617" s="9"/>
      <c r="B617" s="9"/>
      <c r="C617" s="14"/>
      <c r="D617" s="14"/>
      <c r="E617" s="14"/>
      <c r="F617" s="14"/>
      <c r="G617" s="14"/>
      <c r="H617" s="15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>
      <c r="A618" s="9"/>
      <c r="B618" s="9"/>
      <c r="C618" s="14"/>
      <c r="D618" s="14"/>
      <c r="E618" s="14"/>
      <c r="F618" s="14"/>
      <c r="G618" s="14"/>
      <c r="H618" s="15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>
      <c r="A619" s="9"/>
      <c r="B619" s="9"/>
      <c r="C619" s="14"/>
      <c r="D619" s="14"/>
      <c r="E619" s="14"/>
      <c r="F619" s="14"/>
      <c r="G619" s="14"/>
      <c r="H619" s="15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>
      <c r="A620" s="9"/>
      <c r="B620" s="9"/>
      <c r="C620" s="14"/>
      <c r="D620" s="14"/>
      <c r="E620" s="14"/>
      <c r="F620" s="14"/>
      <c r="G620" s="14"/>
      <c r="H620" s="15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>
      <c r="A621" s="9"/>
      <c r="B621" s="9"/>
      <c r="C621" s="14"/>
      <c r="D621" s="14"/>
      <c r="E621" s="14"/>
      <c r="F621" s="14"/>
      <c r="G621" s="14"/>
      <c r="H621" s="15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>
      <c r="A622" s="9"/>
      <c r="B622" s="9"/>
      <c r="C622" s="14"/>
      <c r="D622" s="14"/>
      <c r="E622" s="14"/>
      <c r="F622" s="14"/>
      <c r="G622" s="14"/>
      <c r="H622" s="15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>
      <c r="A623" s="9"/>
      <c r="B623" s="9"/>
      <c r="C623" s="14"/>
      <c r="D623" s="14"/>
      <c r="E623" s="14"/>
      <c r="F623" s="14"/>
      <c r="G623" s="14"/>
      <c r="H623" s="15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>
      <c r="A624" s="9"/>
      <c r="B624" s="9"/>
      <c r="C624" s="14"/>
      <c r="D624" s="14"/>
      <c r="E624" s="14"/>
      <c r="F624" s="14"/>
      <c r="G624" s="14"/>
      <c r="H624" s="15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>
      <c r="A625" s="9"/>
      <c r="B625" s="9"/>
      <c r="C625" s="14"/>
      <c r="D625" s="14"/>
      <c r="E625" s="14"/>
      <c r="F625" s="14"/>
      <c r="G625" s="14"/>
      <c r="H625" s="15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>
      <c r="A626" s="9"/>
      <c r="B626" s="9"/>
      <c r="C626" s="14"/>
      <c r="D626" s="14"/>
      <c r="E626" s="14"/>
      <c r="F626" s="14"/>
      <c r="G626" s="14"/>
      <c r="H626" s="15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>
      <c r="A627" s="9"/>
      <c r="B627" s="9"/>
      <c r="C627" s="14"/>
      <c r="D627" s="14"/>
      <c r="E627" s="14"/>
      <c r="F627" s="14"/>
      <c r="G627" s="14"/>
      <c r="H627" s="15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>
      <c r="A628" s="9"/>
      <c r="B628" s="9"/>
      <c r="C628" s="14"/>
      <c r="D628" s="14"/>
      <c r="E628" s="14"/>
      <c r="F628" s="14"/>
      <c r="G628" s="14"/>
      <c r="H628" s="15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>
      <c r="A629" s="9"/>
      <c r="B629" s="9"/>
      <c r="C629" s="14"/>
      <c r="D629" s="14"/>
      <c r="E629" s="14"/>
      <c r="F629" s="14"/>
      <c r="G629" s="14"/>
      <c r="H629" s="15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>
      <c r="A630" s="9"/>
      <c r="B630" s="9"/>
      <c r="C630" s="14"/>
      <c r="D630" s="14"/>
      <c r="E630" s="14"/>
      <c r="F630" s="14"/>
      <c r="G630" s="14"/>
      <c r="H630" s="15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>
      <c r="A631" s="9"/>
      <c r="B631" s="9"/>
      <c r="C631" s="14"/>
      <c r="D631" s="14"/>
      <c r="E631" s="14"/>
      <c r="F631" s="14"/>
      <c r="G631" s="14"/>
      <c r="H631" s="15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>
      <c r="A632" s="9"/>
      <c r="B632" s="9"/>
      <c r="C632" s="14"/>
      <c r="D632" s="14"/>
      <c r="E632" s="14"/>
      <c r="F632" s="14"/>
      <c r="G632" s="14"/>
      <c r="H632" s="15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>
      <c r="A633" s="9"/>
      <c r="B633" s="9"/>
      <c r="C633" s="14"/>
      <c r="D633" s="14"/>
      <c r="E633" s="14"/>
      <c r="F633" s="14"/>
      <c r="G633" s="14"/>
      <c r="H633" s="15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>
      <c r="A634" s="9"/>
      <c r="B634" s="9"/>
      <c r="C634" s="14"/>
      <c r="D634" s="14"/>
      <c r="E634" s="14"/>
      <c r="F634" s="14"/>
      <c r="G634" s="14"/>
      <c r="H634" s="15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>
      <c r="A635" s="9"/>
      <c r="B635" s="9"/>
      <c r="C635" s="14"/>
      <c r="D635" s="14"/>
      <c r="E635" s="14"/>
      <c r="F635" s="14"/>
      <c r="G635" s="14"/>
      <c r="H635" s="15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>
      <c r="A636" s="9"/>
      <c r="B636" s="9"/>
      <c r="C636" s="14"/>
      <c r="D636" s="14"/>
      <c r="E636" s="14"/>
      <c r="F636" s="14"/>
      <c r="G636" s="14"/>
      <c r="H636" s="15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>
      <c r="A637" s="9"/>
      <c r="B637" s="9"/>
      <c r="C637" s="14"/>
      <c r="D637" s="14"/>
      <c r="E637" s="14"/>
      <c r="F637" s="14"/>
      <c r="G637" s="14"/>
      <c r="H637" s="15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>
      <c r="A638" s="9"/>
      <c r="B638" s="9"/>
      <c r="C638" s="14"/>
      <c r="D638" s="14"/>
      <c r="E638" s="14"/>
      <c r="F638" s="14"/>
      <c r="G638" s="14"/>
      <c r="H638" s="15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>
      <c r="A639" s="9"/>
      <c r="B639" s="9"/>
      <c r="C639" s="14"/>
      <c r="D639" s="14"/>
      <c r="E639" s="14"/>
      <c r="F639" s="14"/>
      <c r="G639" s="14"/>
      <c r="H639" s="15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>
      <c r="A640" s="9"/>
      <c r="B640" s="9"/>
      <c r="C640" s="14"/>
      <c r="D640" s="14"/>
      <c r="E640" s="14"/>
      <c r="F640" s="14"/>
      <c r="G640" s="14"/>
      <c r="H640" s="15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>
      <c r="A641" s="9"/>
      <c r="B641" s="9"/>
      <c r="C641" s="14"/>
      <c r="D641" s="14"/>
      <c r="E641" s="14"/>
      <c r="F641" s="14"/>
      <c r="G641" s="14"/>
      <c r="H641" s="15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>
      <c r="A642" s="9"/>
      <c r="B642" s="9"/>
      <c r="C642" s="14"/>
      <c r="D642" s="14"/>
      <c r="E642" s="14"/>
      <c r="F642" s="14"/>
      <c r="G642" s="14"/>
      <c r="H642" s="15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>
      <c r="A643" s="9"/>
      <c r="B643" s="9"/>
      <c r="C643" s="14"/>
      <c r="D643" s="14"/>
      <c r="E643" s="14"/>
      <c r="F643" s="14"/>
      <c r="G643" s="14"/>
      <c r="H643" s="15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>
      <c r="A644" s="9"/>
      <c r="B644" s="9"/>
      <c r="C644" s="14"/>
      <c r="D644" s="14"/>
      <c r="E644" s="14"/>
      <c r="F644" s="14"/>
      <c r="G644" s="14"/>
      <c r="H644" s="15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>
      <c r="A645" s="9"/>
      <c r="B645" s="9"/>
      <c r="C645" s="14"/>
      <c r="D645" s="14"/>
      <c r="E645" s="14"/>
      <c r="F645" s="14"/>
      <c r="G645" s="14"/>
      <c r="H645" s="15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>
      <c r="A646" s="9"/>
      <c r="B646" s="9"/>
      <c r="C646" s="14"/>
      <c r="D646" s="14"/>
      <c r="E646" s="14"/>
      <c r="F646" s="14"/>
      <c r="G646" s="14"/>
      <c r="H646" s="15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>
      <c r="A647" s="9"/>
      <c r="B647" s="9"/>
      <c r="C647" s="14"/>
      <c r="D647" s="14"/>
      <c r="E647" s="14"/>
      <c r="F647" s="14"/>
      <c r="G647" s="14"/>
      <c r="H647" s="15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>
      <c r="A648" s="9"/>
      <c r="B648" s="9"/>
      <c r="C648" s="14"/>
      <c r="D648" s="14"/>
      <c r="E648" s="14"/>
      <c r="F648" s="14"/>
      <c r="G648" s="14"/>
      <c r="H648" s="15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>
      <c r="A649" s="9"/>
      <c r="B649" s="9"/>
      <c r="C649" s="14"/>
      <c r="D649" s="14"/>
      <c r="E649" s="14"/>
      <c r="F649" s="14"/>
      <c r="G649" s="14"/>
      <c r="H649" s="15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>
      <c r="A650" s="9"/>
      <c r="B650" s="9"/>
      <c r="C650" s="14"/>
      <c r="D650" s="14"/>
      <c r="E650" s="14"/>
      <c r="F650" s="14"/>
      <c r="G650" s="14"/>
      <c r="H650" s="15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>
      <c r="A651" s="9"/>
      <c r="B651" s="9"/>
      <c r="C651" s="14"/>
      <c r="D651" s="14"/>
      <c r="E651" s="14"/>
      <c r="F651" s="14"/>
      <c r="G651" s="14"/>
      <c r="H651" s="15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>
      <c r="A652" s="9"/>
      <c r="B652" s="9"/>
      <c r="C652" s="14"/>
      <c r="D652" s="14"/>
      <c r="E652" s="14"/>
      <c r="F652" s="14"/>
      <c r="G652" s="14"/>
      <c r="H652" s="15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>
      <c r="A653" s="9"/>
      <c r="B653" s="9"/>
      <c r="C653" s="14"/>
      <c r="D653" s="14"/>
      <c r="E653" s="14"/>
      <c r="F653" s="14"/>
      <c r="G653" s="14"/>
      <c r="H653" s="15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>
      <c r="A654" s="9"/>
      <c r="B654" s="9"/>
      <c r="C654" s="14"/>
      <c r="D654" s="14"/>
      <c r="E654" s="14"/>
      <c r="F654" s="14"/>
      <c r="G654" s="14"/>
      <c r="H654" s="15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>
      <c r="A655" s="9"/>
      <c r="B655" s="9"/>
      <c r="C655" s="14"/>
      <c r="D655" s="14"/>
      <c r="E655" s="14"/>
      <c r="F655" s="14"/>
      <c r="G655" s="14"/>
      <c r="H655" s="15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>
      <c r="A656" s="9"/>
      <c r="B656" s="9"/>
      <c r="C656" s="14"/>
      <c r="D656" s="14"/>
      <c r="E656" s="14"/>
      <c r="F656" s="14"/>
      <c r="G656" s="14"/>
      <c r="H656" s="15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>
      <c r="A657" s="9"/>
      <c r="B657" s="9"/>
      <c r="C657" s="14"/>
      <c r="D657" s="14"/>
      <c r="E657" s="14"/>
      <c r="F657" s="14"/>
      <c r="G657" s="14"/>
      <c r="H657" s="15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>
      <c r="A658" s="9"/>
      <c r="B658" s="9"/>
      <c r="C658" s="14"/>
      <c r="D658" s="14"/>
      <c r="E658" s="14"/>
      <c r="F658" s="14"/>
      <c r="G658" s="14"/>
      <c r="H658" s="15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>
      <c r="A659" s="9"/>
      <c r="B659" s="9"/>
      <c r="C659" s="14"/>
      <c r="D659" s="14"/>
      <c r="E659" s="14"/>
      <c r="F659" s="14"/>
      <c r="G659" s="14"/>
      <c r="H659" s="15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>
      <c r="A660" s="9"/>
      <c r="B660" s="9"/>
      <c r="C660" s="14"/>
      <c r="D660" s="14"/>
      <c r="E660" s="14"/>
      <c r="F660" s="14"/>
      <c r="G660" s="14"/>
      <c r="H660" s="15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>
      <c r="A661" s="9"/>
      <c r="B661" s="9"/>
      <c r="C661" s="14"/>
      <c r="D661" s="14"/>
      <c r="E661" s="14"/>
      <c r="F661" s="14"/>
      <c r="G661" s="14"/>
      <c r="H661" s="15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>
      <c r="A662" s="9"/>
      <c r="B662" s="9"/>
      <c r="C662" s="14"/>
      <c r="D662" s="14"/>
      <c r="E662" s="14"/>
      <c r="F662" s="14"/>
      <c r="G662" s="14"/>
      <c r="H662" s="15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>
      <c r="A663" s="9"/>
      <c r="B663" s="9"/>
      <c r="C663" s="14"/>
      <c r="D663" s="14"/>
      <c r="E663" s="14"/>
      <c r="F663" s="14"/>
      <c r="G663" s="14"/>
      <c r="H663" s="15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>
      <c r="A664" s="9"/>
      <c r="B664" s="9"/>
      <c r="C664" s="14"/>
      <c r="D664" s="14"/>
      <c r="E664" s="14"/>
      <c r="F664" s="14"/>
      <c r="G664" s="14"/>
      <c r="H664" s="15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>
      <c r="A665" s="9"/>
      <c r="B665" s="9"/>
      <c r="C665" s="14"/>
      <c r="D665" s="14"/>
      <c r="E665" s="14"/>
      <c r="F665" s="14"/>
      <c r="G665" s="14"/>
      <c r="H665" s="15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>
      <c r="A666" s="9"/>
      <c r="B666" s="9"/>
      <c r="C666" s="14"/>
      <c r="D666" s="14"/>
      <c r="E666" s="14"/>
      <c r="F666" s="14"/>
      <c r="G666" s="14"/>
      <c r="H666" s="15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>
      <c r="A667" s="9"/>
      <c r="B667" s="9"/>
      <c r="C667" s="14"/>
      <c r="D667" s="14"/>
      <c r="E667" s="14"/>
      <c r="F667" s="14"/>
      <c r="G667" s="14"/>
      <c r="H667" s="15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>
      <c r="A668" s="9"/>
      <c r="B668" s="9"/>
      <c r="C668" s="14"/>
      <c r="D668" s="14"/>
      <c r="E668" s="14"/>
      <c r="F668" s="14"/>
      <c r="G668" s="14"/>
      <c r="H668" s="15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>
      <c r="A669" s="9"/>
      <c r="B669" s="9"/>
      <c r="C669" s="14"/>
      <c r="D669" s="14"/>
      <c r="E669" s="14"/>
      <c r="F669" s="14"/>
      <c r="G669" s="14"/>
      <c r="H669" s="15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>
      <c r="A670" s="9"/>
      <c r="B670" s="9"/>
      <c r="C670" s="14"/>
      <c r="D670" s="14"/>
      <c r="E670" s="14"/>
      <c r="F670" s="14"/>
      <c r="G670" s="14"/>
      <c r="H670" s="15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>
      <c r="A671" s="9"/>
      <c r="B671" s="9"/>
      <c r="C671" s="14"/>
      <c r="D671" s="14"/>
      <c r="E671" s="14"/>
      <c r="F671" s="14"/>
      <c r="G671" s="14"/>
      <c r="H671" s="15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>
      <c r="A672" s="9"/>
      <c r="B672" s="9"/>
      <c r="C672" s="14"/>
      <c r="D672" s="14"/>
      <c r="E672" s="14"/>
      <c r="F672" s="14"/>
      <c r="G672" s="14"/>
      <c r="H672" s="15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>
      <c r="A673" s="9"/>
      <c r="B673" s="9"/>
      <c r="C673" s="14"/>
      <c r="D673" s="14"/>
      <c r="E673" s="14"/>
      <c r="F673" s="14"/>
      <c r="G673" s="14"/>
      <c r="H673" s="15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>
      <c r="A674" s="9"/>
      <c r="B674" s="9"/>
      <c r="C674" s="14"/>
      <c r="D674" s="14"/>
      <c r="E674" s="14"/>
      <c r="F674" s="14"/>
      <c r="G674" s="14"/>
      <c r="H674" s="15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>
      <c r="A675" s="9"/>
      <c r="B675" s="9"/>
      <c r="C675" s="14"/>
      <c r="D675" s="14"/>
      <c r="E675" s="14"/>
      <c r="F675" s="14"/>
      <c r="G675" s="14"/>
      <c r="H675" s="15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>
      <c r="A676" s="9"/>
      <c r="B676" s="9"/>
      <c r="C676" s="14"/>
      <c r="D676" s="14"/>
      <c r="E676" s="14"/>
      <c r="F676" s="14"/>
      <c r="G676" s="14"/>
      <c r="H676" s="15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>
      <c r="A677" s="9"/>
      <c r="B677" s="9"/>
      <c r="C677" s="14"/>
      <c r="D677" s="14"/>
      <c r="E677" s="14"/>
      <c r="F677" s="14"/>
      <c r="G677" s="14"/>
      <c r="H677" s="15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>
      <c r="A678" s="9"/>
      <c r="B678" s="9"/>
      <c r="C678" s="14"/>
      <c r="D678" s="14"/>
      <c r="E678" s="14"/>
      <c r="F678" s="14"/>
      <c r="G678" s="14"/>
      <c r="H678" s="15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>
      <c r="A679" s="9"/>
      <c r="B679" s="9"/>
      <c r="C679" s="14"/>
      <c r="D679" s="14"/>
      <c r="E679" s="14"/>
      <c r="F679" s="14"/>
      <c r="G679" s="14"/>
      <c r="H679" s="15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>
      <c r="A680" s="9"/>
      <c r="B680" s="9"/>
      <c r="C680" s="14"/>
      <c r="D680" s="14"/>
      <c r="E680" s="14"/>
      <c r="F680" s="14"/>
      <c r="G680" s="14"/>
      <c r="H680" s="15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>
      <c r="A681" s="9"/>
      <c r="B681" s="9"/>
      <c r="C681" s="14"/>
      <c r="D681" s="14"/>
      <c r="E681" s="14"/>
      <c r="F681" s="14"/>
      <c r="G681" s="14"/>
      <c r="H681" s="15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>
      <c r="A682" s="9"/>
      <c r="B682" s="9"/>
      <c r="C682" s="14"/>
      <c r="D682" s="14"/>
      <c r="E682" s="14"/>
      <c r="F682" s="14"/>
      <c r="G682" s="14"/>
      <c r="H682" s="15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>
      <c r="A683" s="9"/>
      <c r="B683" s="9"/>
      <c r="C683" s="14"/>
      <c r="D683" s="14"/>
      <c r="E683" s="14"/>
      <c r="F683" s="14"/>
      <c r="G683" s="14"/>
      <c r="H683" s="15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>
      <c r="A684" s="9"/>
      <c r="B684" s="9"/>
      <c r="C684" s="14"/>
      <c r="D684" s="14"/>
      <c r="E684" s="14"/>
      <c r="F684" s="14"/>
      <c r="G684" s="14"/>
      <c r="H684" s="15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>
      <c r="A685" s="9"/>
      <c r="B685" s="9"/>
      <c r="C685" s="14"/>
      <c r="D685" s="14"/>
      <c r="E685" s="14"/>
      <c r="F685" s="14"/>
      <c r="G685" s="14"/>
      <c r="H685" s="15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>
      <c r="A686" s="9"/>
      <c r="B686" s="9"/>
      <c r="C686" s="14"/>
      <c r="D686" s="14"/>
      <c r="E686" s="14"/>
      <c r="F686" s="14"/>
      <c r="G686" s="14"/>
      <c r="H686" s="15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>
      <c r="A687" s="9"/>
      <c r="B687" s="9"/>
      <c r="C687" s="14"/>
      <c r="D687" s="14"/>
      <c r="E687" s="14"/>
      <c r="F687" s="14"/>
      <c r="G687" s="14"/>
      <c r="H687" s="15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>
      <c r="A688" s="9"/>
      <c r="B688" s="9"/>
      <c r="C688" s="14"/>
      <c r="D688" s="14"/>
      <c r="E688" s="14"/>
      <c r="F688" s="14"/>
      <c r="G688" s="14"/>
      <c r="H688" s="15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>
      <c r="A689" s="9"/>
      <c r="B689" s="9"/>
      <c r="C689" s="14"/>
      <c r="D689" s="14"/>
      <c r="E689" s="14"/>
      <c r="F689" s="14"/>
      <c r="G689" s="14"/>
      <c r="H689" s="15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>
      <c r="A690" s="9"/>
      <c r="B690" s="9"/>
      <c r="C690" s="14"/>
      <c r="D690" s="14"/>
      <c r="E690" s="14"/>
      <c r="F690" s="14"/>
      <c r="G690" s="14"/>
      <c r="H690" s="15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>
      <c r="A691" s="9"/>
      <c r="B691" s="9"/>
      <c r="C691" s="14"/>
      <c r="D691" s="14"/>
      <c r="E691" s="14"/>
      <c r="F691" s="14"/>
      <c r="G691" s="14"/>
      <c r="H691" s="15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>
      <c r="A692" s="9"/>
      <c r="B692" s="9"/>
      <c r="C692" s="14"/>
      <c r="D692" s="14"/>
      <c r="E692" s="14"/>
      <c r="F692" s="14"/>
      <c r="G692" s="14"/>
      <c r="H692" s="15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>
      <c r="A693" s="9"/>
      <c r="B693" s="9"/>
      <c r="C693" s="14"/>
      <c r="D693" s="14"/>
      <c r="E693" s="14"/>
      <c r="F693" s="14"/>
      <c r="G693" s="14"/>
      <c r="H693" s="15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>
      <c r="A694" s="9"/>
      <c r="B694" s="9"/>
      <c r="C694" s="14"/>
      <c r="D694" s="14"/>
      <c r="E694" s="14"/>
      <c r="F694" s="14"/>
      <c r="G694" s="14"/>
      <c r="H694" s="15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>
      <c r="A695" s="9"/>
      <c r="B695" s="9"/>
      <c r="C695" s="14"/>
      <c r="D695" s="14"/>
      <c r="E695" s="14"/>
      <c r="F695" s="14"/>
      <c r="G695" s="14"/>
      <c r="H695" s="15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>
      <c r="A696" s="9"/>
      <c r="B696" s="9"/>
      <c r="C696" s="14"/>
      <c r="D696" s="14"/>
      <c r="E696" s="14"/>
      <c r="F696" s="14"/>
      <c r="G696" s="14"/>
      <c r="H696" s="15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>
      <c r="A697" s="9"/>
      <c r="B697" s="9"/>
      <c r="C697" s="14"/>
      <c r="D697" s="14"/>
      <c r="E697" s="14"/>
      <c r="F697" s="14"/>
      <c r="G697" s="14"/>
      <c r="H697" s="15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>
      <c r="A698" s="9"/>
      <c r="B698" s="9"/>
      <c r="C698" s="14"/>
      <c r="D698" s="14"/>
      <c r="E698" s="14"/>
      <c r="F698" s="14"/>
      <c r="G698" s="14"/>
      <c r="H698" s="15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>
      <c r="A699" s="9"/>
      <c r="B699" s="9"/>
      <c r="C699" s="14"/>
      <c r="D699" s="14"/>
      <c r="E699" s="14"/>
      <c r="F699" s="14"/>
      <c r="G699" s="14"/>
      <c r="H699" s="15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>
      <c r="A700" s="9"/>
      <c r="B700" s="9"/>
      <c r="C700" s="14"/>
      <c r="D700" s="14"/>
      <c r="E700" s="14"/>
      <c r="F700" s="14"/>
      <c r="G700" s="14"/>
      <c r="H700" s="15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>
      <c r="A701" s="9"/>
      <c r="B701" s="9"/>
      <c r="C701" s="14"/>
      <c r="D701" s="14"/>
      <c r="E701" s="14"/>
      <c r="F701" s="14"/>
      <c r="G701" s="14"/>
      <c r="H701" s="15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>
      <c r="A702" s="9"/>
      <c r="B702" s="9"/>
      <c r="C702" s="14"/>
      <c r="D702" s="14"/>
      <c r="E702" s="14"/>
      <c r="F702" s="14"/>
      <c r="G702" s="14"/>
      <c r="H702" s="15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>
      <c r="A703" s="9"/>
      <c r="B703" s="9"/>
      <c r="C703" s="14"/>
      <c r="D703" s="14"/>
      <c r="E703" s="14"/>
      <c r="F703" s="14"/>
      <c r="G703" s="14"/>
      <c r="H703" s="15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>
      <c r="A704" s="9"/>
      <c r="B704" s="9"/>
      <c r="C704" s="14"/>
      <c r="D704" s="14"/>
      <c r="E704" s="14"/>
      <c r="F704" s="14"/>
      <c r="G704" s="14"/>
      <c r="H704" s="15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>
      <c r="A705" s="9"/>
      <c r="B705" s="9"/>
      <c r="C705" s="14"/>
      <c r="D705" s="14"/>
      <c r="E705" s="14"/>
      <c r="F705" s="14"/>
      <c r="G705" s="14"/>
      <c r="H705" s="15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>
      <c r="A706" s="9"/>
      <c r="B706" s="9"/>
      <c r="C706" s="14"/>
      <c r="D706" s="14"/>
      <c r="E706" s="14"/>
      <c r="F706" s="14"/>
      <c r="G706" s="14"/>
      <c r="H706" s="15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>
      <c r="A707" s="9"/>
      <c r="B707" s="9"/>
      <c r="C707" s="14"/>
      <c r="D707" s="14"/>
      <c r="E707" s="14"/>
      <c r="F707" s="14"/>
      <c r="G707" s="14"/>
      <c r="H707" s="15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>
      <c r="A708" s="9"/>
      <c r="B708" s="9"/>
      <c r="C708" s="14"/>
      <c r="D708" s="14"/>
      <c r="E708" s="14"/>
      <c r="F708" s="14"/>
      <c r="G708" s="14"/>
      <c r="H708" s="15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>
      <c r="A709" s="9"/>
      <c r="B709" s="9"/>
      <c r="C709" s="14"/>
      <c r="D709" s="14"/>
      <c r="E709" s="14"/>
      <c r="F709" s="14"/>
      <c r="G709" s="14"/>
      <c r="H709" s="15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>
      <c r="A710" s="9"/>
      <c r="B710" s="9"/>
      <c r="C710" s="14"/>
      <c r="D710" s="14"/>
      <c r="E710" s="14"/>
      <c r="F710" s="14"/>
      <c r="G710" s="14"/>
      <c r="H710" s="15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>
      <c r="A711" s="9"/>
      <c r="B711" s="9"/>
      <c r="C711" s="14"/>
      <c r="D711" s="14"/>
      <c r="E711" s="14"/>
      <c r="F711" s="14"/>
      <c r="G711" s="14"/>
      <c r="H711" s="15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>
      <c r="A712" s="9"/>
      <c r="B712" s="9"/>
      <c r="C712" s="14"/>
      <c r="D712" s="14"/>
      <c r="E712" s="14"/>
      <c r="F712" s="14"/>
      <c r="G712" s="14"/>
      <c r="H712" s="15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>
      <c r="A713" s="9"/>
      <c r="B713" s="9"/>
      <c r="C713" s="14"/>
      <c r="D713" s="14"/>
      <c r="E713" s="14"/>
      <c r="F713" s="14"/>
      <c r="G713" s="14"/>
      <c r="H713" s="15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>
      <c r="A714" s="9"/>
      <c r="B714" s="9"/>
      <c r="C714" s="14"/>
      <c r="D714" s="14"/>
      <c r="E714" s="14"/>
      <c r="F714" s="14"/>
      <c r="G714" s="14"/>
      <c r="H714" s="15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>
      <c r="A715" s="9"/>
      <c r="B715" s="9"/>
      <c r="C715" s="14"/>
      <c r="D715" s="14"/>
      <c r="E715" s="14"/>
      <c r="F715" s="14"/>
      <c r="G715" s="14"/>
      <c r="H715" s="15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>
      <c r="A716" s="9"/>
      <c r="B716" s="9"/>
      <c r="C716" s="14"/>
      <c r="D716" s="14"/>
      <c r="E716" s="14"/>
      <c r="F716" s="14"/>
      <c r="G716" s="14"/>
      <c r="H716" s="15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>
      <c r="A717" s="9"/>
      <c r="B717" s="9"/>
      <c r="C717" s="14"/>
      <c r="D717" s="14"/>
      <c r="E717" s="14"/>
      <c r="F717" s="14"/>
      <c r="G717" s="14"/>
      <c r="H717" s="15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>
      <c r="A718" s="9"/>
      <c r="B718" s="9"/>
      <c r="C718" s="14"/>
      <c r="D718" s="14"/>
      <c r="E718" s="14"/>
      <c r="F718" s="14"/>
      <c r="G718" s="14"/>
      <c r="H718" s="15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>
      <c r="A719" s="9"/>
      <c r="B719" s="9"/>
      <c r="C719" s="14"/>
      <c r="D719" s="14"/>
      <c r="E719" s="14"/>
      <c r="F719" s="14"/>
      <c r="G719" s="14"/>
      <c r="H719" s="15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>
      <c r="A720" s="9"/>
      <c r="B720" s="9"/>
      <c r="C720" s="14"/>
      <c r="D720" s="14"/>
      <c r="E720" s="14"/>
      <c r="F720" s="14"/>
      <c r="G720" s="14"/>
      <c r="H720" s="15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>
      <c r="A721" s="9"/>
      <c r="B721" s="9"/>
      <c r="C721" s="14"/>
      <c r="D721" s="14"/>
      <c r="E721" s="14"/>
      <c r="F721" s="14"/>
      <c r="G721" s="14"/>
      <c r="H721" s="15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>
      <c r="A722" s="9"/>
      <c r="B722" s="9"/>
      <c r="C722" s="14"/>
      <c r="D722" s="14"/>
      <c r="E722" s="14"/>
      <c r="F722" s="14"/>
      <c r="G722" s="14"/>
      <c r="H722" s="15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>
      <c r="A723" s="9"/>
      <c r="B723" s="9"/>
      <c r="C723" s="14"/>
      <c r="D723" s="14"/>
      <c r="E723" s="14"/>
      <c r="F723" s="14"/>
      <c r="G723" s="14"/>
      <c r="H723" s="15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>
      <c r="A724" s="9"/>
      <c r="B724" s="9"/>
      <c r="C724" s="14"/>
      <c r="D724" s="14"/>
      <c r="E724" s="14"/>
      <c r="F724" s="14"/>
      <c r="G724" s="14"/>
      <c r="H724" s="15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>
      <c r="A725" s="9"/>
      <c r="B725" s="9"/>
      <c r="C725" s="14"/>
      <c r="D725" s="14"/>
      <c r="E725" s="14"/>
      <c r="F725" s="14"/>
      <c r="G725" s="14"/>
      <c r="H725" s="15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>
      <c r="A726" s="9"/>
      <c r="B726" s="9"/>
      <c r="C726" s="14"/>
      <c r="D726" s="14"/>
      <c r="E726" s="14"/>
      <c r="F726" s="14"/>
      <c r="G726" s="14"/>
      <c r="H726" s="15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>
      <c r="A727" s="9"/>
      <c r="B727" s="9"/>
      <c r="C727" s="14"/>
      <c r="D727" s="14"/>
      <c r="E727" s="14"/>
      <c r="F727" s="14"/>
      <c r="G727" s="14"/>
      <c r="H727" s="15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>
      <c r="A728" s="9"/>
      <c r="B728" s="9"/>
      <c r="C728" s="14"/>
      <c r="D728" s="14"/>
      <c r="E728" s="14"/>
      <c r="F728" s="14"/>
      <c r="G728" s="14"/>
      <c r="H728" s="15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>
      <c r="A729" s="9"/>
      <c r="B729" s="9"/>
      <c r="C729" s="14"/>
      <c r="D729" s="14"/>
      <c r="E729" s="14"/>
      <c r="F729" s="14"/>
      <c r="G729" s="14"/>
      <c r="H729" s="15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>
      <c r="A730" s="9"/>
      <c r="B730" s="9"/>
      <c r="C730" s="14"/>
      <c r="D730" s="14"/>
      <c r="E730" s="14"/>
      <c r="F730" s="14"/>
      <c r="G730" s="14"/>
      <c r="H730" s="15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>
      <c r="A731" s="9"/>
      <c r="B731" s="9"/>
      <c r="C731" s="14"/>
      <c r="D731" s="14"/>
      <c r="E731" s="14"/>
      <c r="F731" s="14"/>
      <c r="G731" s="14"/>
      <c r="H731" s="15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>
      <c r="A732" s="9"/>
      <c r="B732" s="9"/>
      <c r="C732" s="14"/>
      <c r="D732" s="14"/>
      <c r="E732" s="14"/>
      <c r="F732" s="14"/>
      <c r="G732" s="14"/>
      <c r="H732" s="15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>
      <c r="A733" s="9"/>
      <c r="B733" s="9"/>
      <c r="C733" s="14"/>
      <c r="D733" s="14"/>
      <c r="E733" s="14"/>
      <c r="F733" s="14"/>
      <c r="G733" s="14"/>
      <c r="H733" s="15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>
      <c r="A734" s="9"/>
      <c r="B734" s="9"/>
      <c r="C734" s="14"/>
      <c r="D734" s="14"/>
      <c r="E734" s="14"/>
      <c r="F734" s="14"/>
      <c r="G734" s="14"/>
      <c r="H734" s="15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>
      <c r="A735" s="9"/>
      <c r="B735" s="9"/>
      <c r="C735" s="14"/>
      <c r="D735" s="14"/>
      <c r="E735" s="14"/>
      <c r="F735" s="14"/>
      <c r="G735" s="14"/>
      <c r="H735" s="15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>
      <c r="A736" s="9"/>
      <c r="B736" s="9"/>
      <c r="C736" s="14"/>
      <c r="D736" s="14"/>
      <c r="E736" s="14"/>
      <c r="F736" s="14"/>
      <c r="G736" s="14"/>
      <c r="H736" s="15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>
      <c r="A737" s="9"/>
      <c r="B737" s="9"/>
      <c r="C737" s="14"/>
      <c r="D737" s="14"/>
      <c r="E737" s="14"/>
      <c r="F737" s="14"/>
      <c r="G737" s="14"/>
      <c r="H737" s="15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>
      <c r="A738" s="9"/>
      <c r="B738" s="9"/>
      <c r="C738" s="14"/>
      <c r="D738" s="14"/>
      <c r="E738" s="14"/>
      <c r="F738" s="14"/>
      <c r="G738" s="14"/>
      <c r="H738" s="15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>
      <c r="A739" s="9"/>
      <c r="B739" s="9"/>
      <c r="C739" s="14"/>
      <c r="D739" s="14"/>
      <c r="E739" s="14"/>
      <c r="F739" s="14"/>
      <c r="G739" s="14"/>
      <c r="H739" s="15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>
      <c r="A740" s="9"/>
      <c r="B740" s="9"/>
      <c r="C740" s="14"/>
      <c r="D740" s="14"/>
      <c r="E740" s="14"/>
      <c r="F740" s="14"/>
      <c r="G740" s="14"/>
      <c r="H740" s="15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>
      <c r="A741" s="9"/>
      <c r="B741" s="9"/>
      <c r="C741" s="14"/>
      <c r="D741" s="14"/>
      <c r="E741" s="14"/>
      <c r="F741" s="14"/>
      <c r="G741" s="14"/>
      <c r="H741" s="15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>
      <c r="A742" s="9"/>
      <c r="B742" s="9"/>
      <c r="C742" s="14"/>
      <c r="D742" s="14"/>
      <c r="E742" s="14"/>
      <c r="F742" s="14"/>
      <c r="G742" s="14"/>
      <c r="H742" s="15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>
      <c r="A743" s="9"/>
      <c r="B743" s="9"/>
      <c r="C743" s="14"/>
      <c r="D743" s="14"/>
      <c r="E743" s="14"/>
      <c r="F743" s="14"/>
      <c r="G743" s="14"/>
      <c r="H743" s="15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>
      <c r="A744" s="9"/>
      <c r="B744" s="9"/>
      <c r="C744" s="14"/>
      <c r="D744" s="14"/>
      <c r="E744" s="14"/>
      <c r="F744" s="14"/>
      <c r="G744" s="14"/>
      <c r="H744" s="15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>
      <c r="A745" s="9"/>
      <c r="B745" s="9"/>
      <c r="C745" s="14"/>
      <c r="D745" s="14"/>
      <c r="E745" s="14"/>
      <c r="F745" s="14"/>
      <c r="G745" s="14"/>
      <c r="H745" s="15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>
      <c r="A746" s="9"/>
      <c r="B746" s="9"/>
      <c r="C746" s="14"/>
      <c r="D746" s="14"/>
      <c r="E746" s="14"/>
      <c r="F746" s="14"/>
      <c r="G746" s="14"/>
      <c r="H746" s="15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>
      <c r="A747" s="9"/>
      <c r="B747" s="9"/>
      <c r="C747" s="14"/>
      <c r="D747" s="14"/>
      <c r="E747" s="14"/>
      <c r="F747" s="14"/>
      <c r="G747" s="14"/>
      <c r="H747" s="15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>
      <c r="A748" s="9"/>
      <c r="B748" s="9"/>
      <c r="C748" s="14"/>
      <c r="D748" s="14"/>
      <c r="E748" s="14"/>
      <c r="F748" s="14"/>
      <c r="G748" s="14"/>
      <c r="H748" s="15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>
      <c r="A749" s="9"/>
      <c r="B749" s="9"/>
      <c r="C749" s="14"/>
      <c r="D749" s="14"/>
      <c r="E749" s="14"/>
      <c r="F749" s="14"/>
      <c r="G749" s="14"/>
      <c r="H749" s="15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>
      <c r="A750" s="9"/>
      <c r="B750" s="9"/>
      <c r="C750" s="14"/>
      <c r="D750" s="14"/>
      <c r="E750" s="14"/>
      <c r="F750" s="14"/>
      <c r="G750" s="14"/>
      <c r="H750" s="15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>
      <c r="A751" s="9"/>
      <c r="B751" s="9"/>
      <c r="C751" s="14"/>
      <c r="D751" s="14"/>
      <c r="E751" s="14"/>
      <c r="F751" s="14"/>
      <c r="G751" s="14"/>
      <c r="H751" s="15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>
      <c r="A752" s="9"/>
      <c r="B752" s="9"/>
      <c r="C752" s="14"/>
      <c r="D752" s="14"/>
      <c r="E752" s="14"/>
      <c r="F752" s="14"/>
      <c r="G752" s="14"/>
      <c r="H752" s="15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>
      <c r="A753" s="9"/>
      <c r="B753" s="9"/>
      <c r="C753" s="14"/>
      <c r="D753" s="14"/>
      <c r="E753" s="14"/>
      <c r="F753" s="14"/>
      <c r="G753" s="14"/>
      <c r="H753" s="15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>
      <c r="A754" s="9"/>
      <c r="B754" s="9"/>
      <c r="C754" s="14"/>
      <c r="D754" s="14"/>
      <c r="E754" s="14"/>
      <c r="F754" s="14"/>
      <c r="G754" s="14"/>
      <c r="H754" s="15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>
      <c r="A755" s="9"/>
      <c r="B755" s="9"/>
      <c r="C755" s="14"/>
      <c r="D755" s="14"/>
      <c r="E755" s="14"/>
      <c r="F755" s="14"/>
      <c r="G755" s="14"/>
      <c r="H755" s="15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>
      <c r="A756" s="9"/>
      <c r="B756" s="9"/>
      <c r="C756" s="14"/>
      <c r="D756" s="14"/>
      <c r="E756" s="14"/>
      <c r="F756" s="14"/>
      <c r="G756" s="14"/>
      <c r="H756" s="15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>
      <c r="A757" s="9"/>
      <c r="B757" s="9"/>
      <c r="C757" s="14"/>
      <c r="D757" s="14"/>
      <c r="E757" s="14"/>
      <c r="F757" s="14"/>
      <c r="G757" s="14"/>
      <c r="H757" s="15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>
      <c r="A758" s="9"/>
      <c r="B758" s="9"/>
      <c r="C758" s="14"/>
      <c r="D758" s="14"/>
      <c r="E758" s="14"/>
      <c r="F758" s="14"/>
      <c r="G758" s="14"/>
      <c r="H758" s="15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>
      <c r="A759" s="9"/>
      <c r="B759" s="9"/>
      <c r="C759" s="14"/>
      <c r="D759" s="14"/>
      <c r="E759" s="14"/>
      <c r="F759" s="14"/>
      <c r="G759" s="14"/>
      <c r="H759" s="15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>
      <c r="A760" s="9"/>
      <c r="B760" s="9"/>
      <c r="C760" s="14"/>
      <c r="D760" s="14"/>
      <c r="E760" s="14"/>
      <c r="F760" s="14"/>
      <c r="G760" s="14"/>
      <c r="H760" s="15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>
      <c r="A761" s="9"/>
      <c r="B761" s="9"/>
      <c r="C761" s="14"/>
      <c r="D761" s="14"/>
      <c r="E761" s="14"/>
      <c r="F761" s="14"/>
      <c r="G761" s="14"/>
      <c r="H761" s="15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>
      <c r="A762" s="9"/>
      <c r="B762" s="9"/>
      <c r="C762" s="14"/>
      <c r="D762" s="14"/>
      <c r="E762" s="14"/>
      <c r="F762" s="14"/>
      <c r="G762" s="14"/>
      <c r="H762" s="15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>
      <c r="A763" s="9"/>
      <c r="B763" s="9"/>
      <c r="C763" s="14"/>
      <c r="D763" s="14"/>
      <c r="E763" s="14"/>
      <c r="F763" s="14"/>
      <c r="G763" s="14"/>
      <c r="H763" s="15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>
      <c r="A764" s="9"/>
      <c r="B764" s="9"/>
      <c r="C764" s="14"/>
      <c r="D764" s="14"/>
      <c r="E764" s="14"/>
      <c r="F764" s="14"/>
      <c r="G764" s="14"/>
      <c r="H764" s="15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>
      <c r="A765" s="9"/>
      <c r="B765" s="9"/>
      <c r="C765" s="14"/>
      <c r="D765" s="14"/>
      <c r="E765" s="14"/>
      <c r="F765" s="14"/>
      <c r="G765" s="14"/>
      <c r="H765" s="15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>
      <c r="A766" s="9"/>
      <c r="B766" s="9"/>
      <c r="C766" s="14"/>
      <c r="D766" s="14"/>
      <c r="E766" s="14"/>
      <c r="F766" s="14"/>
      <c r="G766" s="14"/>
      <c r="H766" s="15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>
      <c r="A767" s="9"/>
      <c r="B767" s="9"/>
      <c r="C767" s="14"/>
      <c r="D767" s="14"/>
      <c r="E767" s="14"/>
      <c r="F767" s="14"/>
      <c r="G767" s="14"/>
      <c r="H767" s="15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>
      <c r="A768" s="9"/>
      <c r="B768" s="9"/>
      <c r="C768" s="14"/>
      <c r="D768" s="14"/>
      <c r="E768" s="14"/>
      <c r="F768" s="14"/>
      <c r="G768" s="14"/>
      <c r="H768" s="15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>
      <c r="A769" s="9"/>
      <c r="B769" s="9"/>
      <c r="C769" s="14"/>
      <c r="D769" s="14"/>
      <c r="E769" s="14"/>
      <c r="F769" s="14"/>
      <c r="G769" s="14"/>
      <c r="H769" s="15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>
      <c r="A770" s="9"/>
      <c r="B770" s="9"/>
      <c r="C770" s="14"/>
      <c r="D770" s="14"/>
      <c r="E770" s="14"/>
      <c r="F770" s="14"/>
      <c r="G770" s="14"/>
      <c r="H770" s="15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>
      <c r="A771" s="9"/>
      <c r="B771" s="9"/>
      <c r="C771" s="14"/>
      <c r="D771" s="14"/>
      <c r="E771" s="14"/>
      <c r="F771" s="14"/>
      <c r="G771" s="14"/>
      <c r="H771" s="15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>
      <c r="A772" s="9"/>
      <c r="B772" s="9"/>
      <c r="C772" s="14"/>
      <c r="D772" s="14"/>
      <c r="E772" s="14"/>
      <c r="F772" s="14"/>
      <c r="G772" s="14"/>
      <c r="H772" s="15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>
      <c r="A773" s="9"/>
      <c r="B773" s="9"/>
      <c r="C773" s="14"/>
      <c r="D773" s="14"/>
      <c r="E773" s="14"/>
      <c r="F773" s="14"/>
      <c r="G773" s="14"/>
      <c r="H773" s="15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>
      <c r="A774" s="9"/>
      <c r="B774" s="9"/>
      <c r="C774" s="14"/>
      <c r="D774" s="14"/>
      <c r="E774" s="14"/>
      <c r="F774" s="14"/>
      <c r="G774" s="14"/>
      <c r="H774" s="15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>
      <c r="A775" s="9"/>
      <c r="B775" s="9"/>
      <c r="C775" s="14"/>
      <c r="D775" s="14"/>
      <c r="E775" s="14"/>
      <c r="F775" s="14"/>
      <c r="G775" s="14"/>
      <c r="H775" s="15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>
      <c r="A776" s="9"/>
      <c r="B776" s="9"/>
      <c r="C776" s="14"/>
      <c r="D776" s="14"/>
      <c r="E776" s="14"/>
      <c r="F776" s="14"/>
      <c r="G776" s="14"/>
      <c r="H776" s="15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>
      <c r="A777" s="9"/>
      <c r="B777" s="9"/>
      <c r="C777" s="14"/>
      <c r="D777" s="14"/>
      <c r="E777" s="14"/>
      <c r="F777" s="14"/>
      <c r="G777" s="14"/>
      <c r="H777" s="15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>
      <c r="A778" s="9"/>
      <c r="B778" s="9"/>
      <c r="C778" s="14"/>
      <c r="D778" s="14"/>
      <c r="E778" s="14"/>
      <c r="F778" s="14"/>
      <c r="G778" s="14"/>
      <c r="H778" s="15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>
      <c r="A779" s="9"/>
      <c r="B779" s="9"/>
      <c r="C779" s="14"/>
      <c r="D779" s="14"/>
      <c r="E779" s="14"/>
      <c r="F779" s="14"/>
      <c r="G779" s="14"/>
      <c r="H779" s="15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>
      <c r="A780" s="9"/>
      <c r="B780" s="9"/>
      <c r="C780" s="14"/>
      <c r="D780" s="14"/>
      <c r="E780" s="14"/>
      <c r="F780" s="14"/>
      <c r="G780" s="14"/>
      <c r="H780" s="15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>
      <c r="A781" s="9"/>
      <c r="B781" s="9"/>
      <c r="C781" s="14"/>
      <c r="D781" s="14"/>
      <c r="E781" s="14"/>
      <c r="F781" s="14"/>
      <c r="G781" s="14"/>
      <c r="H781" s="15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>
      <c r="A782" s="9"/>
      <c r="B782" s="9"/>
      <c r="C782" s="14"/>
      <c r="D782" s="14"/>
      <c r="E782" s="14"/>
      <c r="F782" s="14"/>
      <c r="G782" s="14"/>
      <c r="H782" s="15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>
      <c r="A783" s="9"/>
      <c r="B783" s="9"/>
      <c r="C783" s="14"/>
      <c r="D783" s="14"/>
      <c r="E783" s="14"/>
      <c r="F783" s="14"/>
      <c r="G783" s="14"/>
      <c r="H783" s="15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>
      <c r="A784" s="9"/>
      <c r="B784" s="9"/>
      <c r="C784" s="14"/>
      <c r="D784" s="14"/>
      <c r="E784" s="14"/>
      <c r="F784" s="14"/>
      <c r="G784" s="14"/>
      <c r="H784" s="15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>
      <c r="A785" s="9"/>
      <c r="B785" s="9"/>
      <c r="C785" s="14"/>
      <c r="D785" s="14"/>
      <c r="E785" s="14"/>
      <c r="F785" s="14"/>
      <c r="G785" s="14"/>
      <c r="H785" s="15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>
      <c r="A786" s="9"/>
      <c r="B786" s="9"/>
      <c r="C786" s="14"/>
      <c r="D786" s="14"/>
      <c r="E786" s="14"/>
      <c r="F786" s="14"/>
      <c r="G786" s="14"/>
      <c r="H786" s="15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>
      <c r="A787" s="9"/>
      <c r="B787" s="9"/>
      <c r="C787" s="14"/>
      <c r="D787" s="14"/>
      <c r="E787" s="14"/>
      <c r="F787" s="14"/>
      <c r="G787" s="14"/>
      <c r="H787" s="15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>
      <c r="A788" s="9"/>
      <c r="B788" s="9"/>
      <c r="C788" s="14"/>
      <c r="D788" s="14"/>
      <c r="E788" s="14"/>
      <c r="F788" s="14"/>
      <c r="G788" s="14"/>
      <c r="H788" s="15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>
      <c r="A789" s="9"/>
      <c r="B789" s="9"/>
      <c r="C789" s="14"/>
      <c r="D789" s="14"/>
      <c r="E789" s="14"/>
      <c r="F789" s="14"/>
      <c r="G789" s="14"/>
      <c r="H789" s="15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>
      <c r="A790" s="9"/>
      <c r="B790" s="9"/>
      <c r="C790" s="14"/>
      <c r="D790" s="14"/>
      <c r="E790" s="14"/>
      <c r="F790" s="14"/>
      <c r="G790" s="14"/>
      <c r="H790" s="15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>
      <c r="A791" s="9"/>
      <c r="B791" s="9"/>
      <c r="C791" s="14"/>
      <c r="D791" s="14"/>
      <c r="E791" s="14"/>
      <c r="F791" s="14"/>
      <c r="G791" s="14"/>
      <c r="H791" s="15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>
      <c r="A792" s="9"/>
      <c r="B792" s="9"/>
      <c r="C792" s="14"/>
      <c r="D792" s="14"/>
      <c r="E792" s="14"/>
      <c r="F792" s="14"/>
      <c r="G792" s="14"/>
      <c r="H792" s="15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>
      <c r="A793" s="9"/>
      <c r="B793" s="9"/>
      <c r="C793" s="14"/>
      <c r="D793" s="14"/>
      <c r="E793" s="14"/>
      <c r="F793" s="14"/>
      <c r="G793" s="14"/>
      <c r="H793" s="15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>
      <c r="A794" s="9"/>
      <c r="B794" s="9"/>
      <c r="C794" s="14"/>
      <c r="D794" s="14"/>
      <c r="E794" s="14"/>
      <c r="F794" s="14"/>
      <c r="G794" s="14"/>
      <c r="H794" s="15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>
      <c r="A795" s="9"/>
      <c r="B795" s="9"/>
      <c r="C795" s="14"/>
      <c r="D795" s="14"/>
      <c r="E795" s="14"/>
      <c r="F795" s="14"/>
      <c r="G795" s="14"/>
      <c r="H795" s="15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>
      <c r="A796" s="9"/>
      <c r="B796" s="9"/>
      <c r="C796" s="14"/>
      <c r="D796" s="14"/>
      <c r="E796" s="14"/>
      <c r="F796" s="14"/>
      <c r="G796" s="14"/>
      <c r="H796" s="15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>
      <c r="A797" s="9"/>
      <c r="B797" s="9"/>
      <c r="C797" s="14"/>
      <c r="D797" s="14"/>
      <c r="E797" s="14"/>
      <c r="F797" s="14"/>
      <c r="G797" s="14"/>
      <c r="H797" s="15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>
      <c r="A798" s="9"/>
      <c r="B798" s="9"/>
      <c r="C798" s="14"/>
      <c r="D798" s="14"/>
      <c r="E798" s="14"/>
      <c r="F798" s="14"/>
      <c r="G798" s="14"/>
      <c r="H798" s="15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>
      <c r="A799" s="9"/>
      <c r="B799" s="9"/>
      <c r="C799" s="14"/>
      <c r="D799" s="14"/>
      <c r="E799" s="14"/>
      <c r="F799" s="14"/>
      <c r="G799" s="14"/>
      <c r="H799" s="15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>
      <c r="A800" s="9"/>
      <c r="B800" s="9"/>
      <c r="C800" s="14"/>
      <c r="D800" s="14"/>
      <c r="E800" s="14"/>
      <c r="F800" s="14"/>
      <c r="G800" s="14"/>
      <c r="H800" s="15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>
      <c r="A801" s="9"/>
      <c r="B801" s="9"/>
      <c r="C801" s="14"/>
      <c r="D801" s="14"/>
      <c r="E801" s="14"/>
      <c r="F801" s="14"/>
      <c r="G801" s="14"/>
      <c r="H801" s="15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>
      <c r="A802" s="9"/>
      <c r="B802" s="9"/>
      <c r="C802" s="14"/>
      <c r="D802" s="14"/>
      <c r="E802" s="14"/>
      <c r="F802" s="14"/>
      <c r="G802" s="14"/>
      <c r="H802" s="15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>
      <c r="A803" s="9"/>
      <c r="B803" s="9"/>
      <c r="C803" s="14"/>
      <c r="D803" s="14"/>
      <c r="E803" s="14"/>
      <c r="F803" s="14"/>
      <c r="G803" s="14"/>
      <c r="H803" s="15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>
      <c r="A804" s="9"/>
      <c r="B804" s="9"/>
      <c r="C804" s="14"/>
      <c r="D804" s="14"/>
      <c r="E804" s="14"/>
      <c r="F804" s="14"/>
      <c r="G804" s="14"/>
      <c r="H804" s="15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>
      <c r="A805" s="9"/>
      <c r="B805" s="9"/>
      <c r="C805" s="14"/>
      <c r="D805" s="14"/>
      <c r="E805" s="14"/>
      <c r="F805" s="14"/>
      <c r="G805" s="14"/>
      <c r="H805" s="15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>
      <c r="A806" s="9"/>
      <c r="B806" s="9"/>
      <c r="C806" s="14"/>
      <c r="D806" s="14"/>
      <c r="E806" s="14"/>
      <c r="F806" s="14"/>
      <c r="G806" s="14"/>
      <c r="H806" s="15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>
      <c r="A807" s="9"/>
      <c r="B807" s="9"/>
      <c r="C807" s="14"/>
      <c r="D807" s="14"/>
      <c r="E807" s="14"/>
      <c r="F807" s="14"/>
      <c r="G807" s="14"/>
      <c r="H807" s="15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>
      <c r="A808" s="9"/>
      <c r="B808" s="9"/>
      <c r="C808" s="14"/>
      <c r="D808" s="14"/>
      <c r="E808" s="14"/>
      <c r="F808" s="14"/>
      <c r="G808" s="14"/>
      <c r="H808" s="15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>
      <c r="A809" s="9"/>
      <c r="B809" s="9"/>
      <c r="C809" s="14"/>
      <c r="D809" s="14"/>
      <c r="E809" s="14"/>
      <c r="F809" s="14"/>
      <c r="G809" s="14"/>
      <c r="H809" s="15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>
      <c r="A810" s="9"/>
      <c r="B810" s="9"/>
      <c r="C810" s="14"/>
      <c r="D810" s="14"/>
      <c r="E810" s="14"/>
      <c r="F810" s="14"/>
      <c r="G810" s="14"/>
      <c r="H810" s="15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>
      <c r="A811" s="9"/>
      <c r="B811" s="9"/>
      <c r="C811" s="14"/>
      <c r="D811" s="14"/>
      <c r="E811" s="14"/>
      <c r="F811" s="14"/>
      <c r="G811" s="14"/>
      <c r="H811" s="15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>
      <c r="A812" s="9"/>
      <c r="B812" s="9"/>
      <c r="C812" s="14"/>
      <c r="D812" s="14"/>
      <c r="E812" s="14"/>
      <c r="F812" s="14"/>
      <c r="G812" s="14"/>
      <c r="H812" s="15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>
      <c r="A813" s="9"/>
      <c r="B813" s="9"/>
      <c r="C813" s="14"/>
      <c r="D813" s="14"/>
      <c r="E813" s="14"/>
      <c r="F813" s="14"/>
      <c r="G813" s="14"/>
      <c r="H813" s="15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>
      <c r="A814" s="9"/>
      <c r="B814" s="9"/>
      <c r="C814" s="14"/>
      <c r="D814" s="14"/>
      <c r="E814" s="14"/>
      <c r="F814" s="14"/>
      <c r="G814" s="14"/>
      <c r="H814" s="15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>
      <c r="A815" s="9"/>
      <c r="B815" s="9"/>
      <c r="C815" s="14"/>
      <c r="D815" s="14"/>
      <c r="E815" s="14"/>
      <c r="F815" s="14"/>
      <c r="G815" s="14"/>
      <c r="H815" s="15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>
      <c r="A816" s="9"/>
      <c r="B816" s="9"/>
      <c r="C816" s="14"/>
      <c r="D816" s="14"/>
      <c r="E816" s="14"/>
      <c r="F816" s="14"/>
      <c r="G816" s="14"/>
      <c r="H816" s="15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>
      <c r="A817" s="9"/>
      <c r="B817" s="9"/>
      <c r="C817" s="14"/>
      <c r="D817" s="14"/>
      <c r="E817" s="14"/>
      <c r="F817" s="14"/>
      <c r="G817" s="14"/>
      <c r="H817" s="15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>
      <c r="A818" s="9"/>
      <c r="B818" s="9"/>
      <c r="C818" s="14"/>
      <c r="D818" s="14"/>
      <c r="E818" s="14"/>
      <c r="F818" s="14"/>
      <c r="G818" s="14"/>
      <c r="H818" s="15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>
      <c r="A819" s="9"/>
      <c r="B819" s="9"/>
      <c r="C819" s="14"/>
      <c r="D819" s="14"/>
      <c r="E819" s="14"/>
      <c r="F819" s="14"/>
      <c r="G819" s="14"/>
      <c r="H819" s="15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>
      <c r="A820" s="9"/>
      <c r="B820" s="9"/>
      <c r="C820" s="14"/>
      <c r="D820" s="14"/>
      <c r="E820" s="14"/>
      <c r="F820" s="14"/>
      <c r="G820" s="14"/>
      <c r="H820" s="15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>
      <c r="A821" s="9"/>
      <c r="B821" s="9"/>
      <c r="C821" s="14"/>
      <c r="D821" s="14"/>
      <c r="E821" s="14"/>
      <c r="F821" s="14"/>
      <c r="G821" s="14"/>
      <c r="H821" s="15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>
      <c r="A822" s="9"/>
      <c r="B822" s="9"/>
      <c r="C822" s="14"/>
      <c r="D822" s="14"/>
      <c r="E822" s="14"/>
      <c r="F822" s="14"/>
      <c r="G822" s="14"/>
      <c r="H822" s="15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>
      <c r="A823" s="9"/>
      <c r="B823" s="9"/>
      <c r="C823" s="14"/>
      <c r="D823" s="14"/>
      <c r="E823" s="14"/>
      <c r="F823" s="14"/>
      <c r="G823" s="14"/>
      <c r="H823" s="15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>
      <c r="A824" s="9"/>
      <c r="B824" s="9"/>
      <c r="C824" s="14"/>
      <c r="D824" s="14"/>
      <c r="E824" s="14"/>
      <c r="F824" s="14"/>
      <c r="G824" s="14"/>
      <c r="H824" s="15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>
      <c r="A825" s="9"/>
      <c r="B825" s="9"/>
      <c r="C825" s="14"/>
      <c r="D825" s="14"/>
      <c r="E825" s="14"/>
      <c r="F825" s="14"/>
      <c r="G825" s="14"/>
      <c r="H825" s="15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>
      <c r="A826" s="9"/>
      <c r="B826" s="9"/>
      <c r="C826" s="14"/>
      <c r="D826" s="14"/>
      <c r="E826" s="14"/>
      <c r="F826" s="14"/>
      <c r="G826" s="14"/>
      <c r="H826" s="15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>
      <c r="A827" s="9"/>
      <c r="B827" s="9"/>
      <c r="C827" s="14"/>
      <c r="D827" s="14"/>
      <c r="E827" s="14"/>
      <c r="F827" s="14"/>
      <c r="G827" s="14"/>
      <c r="H827" s="15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>
      <c r="A828" s="9"/>
      <c r="B828" s="9"/>
      <c r="C828" s="14"/>
      <c r="D828" s="14"/>
      <c r="E828" s="14"/>
      <c r="F828" s="14"/>
      <c r="G828" s="14"/>
      <c r="H828" s="15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>
      <c r="A829" s="9"/>
      <c r="B829" s="9"/>
      <c r="C829" s="14"/>
      <c r="D829" s="14"/>
      <c r="E829" s="14"/>
      <c r="F829" s="14"/>
      <c r="G829" s="14"/>
      <c r="H829" s="15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>
      <c r="A830" s="9"/>
      <c r="B830" s="9"/>
      <c r="C830" s="14"/>
      <c r="D830" s="14"/>
      <c r="E830" s="14"/>
      <c r="F830" s="14"/>
      <c r="G830" s="14"/>
      <c r="H830" s="15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>
      <c r="A831" s="9"/>
      <c r="B831" s="9"/>
      <c r="C831" s="14"/>
      <c r="D831" s="14"/>
      <c r="E831" s="14"/>
      <c r="F831" s="14"/>
      <c r="G831" s="14"/>
      <c r="H831" s="15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>
      <c r="A832" s="9"/>
      <c r="B832" s="9"/>
      <c r="C832" s="14"/>
      <c r="D832" s="14"/>
      <c r="E832" s="14"/>
      <c r="F832" s="14"/>
      <c r="G832" s="14"/>
      <c r="H832" s="15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>
      <c r="A833" s="9"/>
      <c r="B833" s="9"/>
      <c r="C833" s="14"/>
      <c r="D833" s="14"/>
      <c r="E833" s="14"/>
      <c r="F833" s="14"/>
      <c r="G833" s="14"/>
      <c r="H833" s="15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>
      <c r="A834" s="9"/>
      <c r="B834" s="9"/>
      <c r="C834" s="14"/>
      <c r="D834" s="14"/>
      <c r="E834" s="14"/>
      <c r="F834" s="14"/>
      <c r="G834" s="14"/>
      <c r="H834" s="15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>
      <c r="A835" s="9"/>
      <c r="B835" s="9"/>
      <c r="C835" s="14"/>
      <c r="D835" s="14"/>
      <c r="E835" s="14"/>
      <c r="F835" s="14"/>
      <c r="G835" s="14"/>
      <c r="H835" s="15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>
      <c r="A836" s="9"/>
      <c r="B836" s="9"/>
      <c r="C836" s="14"/>
      <c r="D836" s="14"/>
      <c r="E836" s="14"/>
      <c r="F836" s="14"/>
      <c r="G836" s="14"/>
      <c r="H836" s="15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>
      <c r="A837" s="9"/>
      <c r="B837" s="9"/>
      <c r="C837" s="14"/>
      <c r="D837" s="14"/>
      <c r="E837" s="14"/>
      <c r="F837" s="14"/>
      <c r="G837" s="14"/>
      <c r="H837" s="15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>
      <c r="A838" s="9"/>
      <c r="B838" s="9"/>
      <c r="C838" s="14"/>
      <c r="D838" s="14"/>
      <c r="E838" s="14"/>
      <c r="F838" s="14"/>
      <c r="G838" s="14"/>
      <c r="H838" s="15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>
      <c r="A839" s="9"/>
      <c r="B839" s="9"/>
      <c r="C839" s="14"/>
      <c r="D839" s="14"/>
      <c r="E839" s="14"/>
      <c r="F839" s="14"/>
      <c r="G839" s="14"/>
      <c r="H839" s="15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>
      <c r="A840" s="9"/>
      <c r="B840" s="9"/>
      <c r="C840" s="14"/>
      <c r="D840" s="14"/>
      <c r="E840" s="14"/>
      <c r="F840" s="14"/>
      <c r="G840" s="14"/>
      <c r="H840" s="15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>
      <c r="A841" s="9"/>
      <c r="B841" s="9"/>
      <c r="C841" s="14"/>
      <c r="D841" s="14"/>
      <c r="E841" s="14"/>
      <c r="F841" s="14"/>
      <c r="G841" s="14"/>
      <c r="H841" s="15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>
      <c r="A842" s="9"/>
      <c r="B842" s="9"/>
      <c r="C842" s="14"/>
      <c r="D842" s="14"/>
      <c r="E842" s="14"/>
      <c r="F842" s="14"/>
      <c r="G842" s="14"/>
      <c r="H842" s="15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>
      <c r="A843" s="9"/>
      <c r="B843" s="9"/>
      <c r="C843" s="14"/>
      <c r="D843" s="14"/>
      <c r="E843" s="14"/>
      <c r="F843" s="14"/>
      <c r="G843" s="14"/>
      <c r="H843" s="15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>
      <c r="A844" s="9"/>
      <c r="B844" s="9"/>
      <c r="C844" s="14"/>
      <c r="D844" s="14"/>
      <c r="E844" s="14"/>
      <c r="F844" s="14"/>
      <c r="G844" s="14"/>
      <c r="H844" s="15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>
      <c r="A845" s="9"/>
      <c r="B845" s="9"/>
      <c r="C845" s="14"/>
      <c r="D845" s="14"/>
      <c r="E845" s="14"/>
      <c r="F845" s="14"/>
      <c r="G845" s="14"/>
      <c r="H845" s="15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>
      <c r="A846" s="9"/>
      <c r="B846" s="9"/>
      <c r="C846" s="14"/>
      <c r="D846" s="14"/>
      <c r="E846" s="14"/>
      <c r="F846" s="14"/>
      <c r="G846" s="14"/>
      <c r="H846" s="15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>
      <c r="A847" s="9"/>
      <c r="B847" s="9"/>
      <c r="C847" s="14"/>
      <c r="D847" s="14"/>
      <c r="E847" s="14"/>
      <c r="F847" s="14"/>
      <c r="G847" s="14"/>
      <c r="H847" s="15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>
      <c r="A848" s="9"/>
      <c r="B848" s="9"/>
      <c r="C848" s="14"/>
      <c r="D848" s="14"/>
      <c r="E848" s="14"/>
      <c r="F848" s="14"/>
      <c r="G848" s="14"/>
      <c r="H848" s="15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>
      <c r="A849" s="9"/>
      <c r="B849" s="9"/>
      <c r="C849" s="14"/>
      <c r="D849" s="14"/>
      <c r="E849" s="14"/>
      <c r="F849" s="14"/>
      <c r="G849" s="14"/>
      <c r="H849" s="15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>
      <c r="A850" s="9"/>
      <c r="B850" s="9"/>
      <c r="C850" s="14"/>
      <c r="D850" s="14"/>
      <c r="E850" s="14"/>
      <c r="F850" s="14"/>
      <c r="G850" s="14"/>
      <c r="H850" s="15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>
      <c r="A851" s="9"/>
      <c r="B851" s="9"/>
      <c r="C851" s="14"/>
      <c r="D851" s="14"/>
      <c r="E851" s="14"/>
      <c r="F851" s="14"/>
      <c r="G851" s="14"/>
      <c r="H851" s="15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>
      <c r="A852" s="9"/>
      <c r="B852" s="9"/>
      <c r="C852" s="14"/>
      <c r="D852" s="14"/>
      <c r="E852" s="14"/>
      <c r="F852" s="14"/>
      <c r="G852" s="14"/>
      <c r="H852" s="15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>
      <c r="A853" s="9"/>
      <c r="B853" s="9"/>
      <c r="C853" s="14"/>
      <c r="D853" s="14"/>
      <c r="E853" s="14"/>
      <c r="F853" s="14"/>
      <c r="G853" s="14"/>
      <c r="H853" s="15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>
      <c r="A854" s="9"/>
      <c r="B854" s="9"/>
      <c r="C854" s="14"/>
      <c r="D854" s="14"/>
      <c r="E854" s="14"/>
      <c r="F854" s="14"/>
      <c r="G854" s="14"/>
      <c r="H854" s="15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>
      <c r="A855" s="9"/>
      <c r="B855" s="9"/>
      <c r="C855" s="14"/>
      <c r="D855" s="14"/>
      <c r="E855" s="14"/>
      <c r="F855" s="14"/>
      <c r="G855" s="14"/>
      <c r="H855" s="15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>
      <c r="A856" s="9"/>
      <c r="B856" s="9"/>
      <c r="C856" s="14"/>
      <c r="D856" s="14"/>
      <c r="E856" s="14"/>
      <c r="F856" s="14"/>
      <c r="G856" s="14"/>
      <c r="H856" s="15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>
      <c r="A857" s="9"/>
      <c r="B857" s="9"/>
      <c r="C857" s="14"/>
      <c r="D857" s="14"/>
      <c r="E857" s="14"/>
      <c r="F857" s="14"/>
      <c r="G857" s="14"/>
      <c r="H857" s="15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>
      <c r="A858" s="9"/>
      <c r="B858" s="9"/>
      <c r="C858" s="14"/>
      <c r="D858" s="14"/>
      <c r="E858" s="14"/>
      <c r="F858" s="14"/>
      <c r="G858" s="14"/>
      <c r="H858" s="15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>
      <c r="A859" s="9"/>
      <c r="B859" s="9"/>
      <c r="C859" s="14"/>
      <c r="D859" s="14"/>
      <c r="E859" s="14"/>
      <c r="F859" s="14"/>
      <c r="G859" s="14"/>
      <c r="H859" s="15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>
      <c r="A860" s="9"/>
      <c r="B860" s="9"/>
      <c r="C860" s="14"/>
      <c r="D860" s="14"/>
      <c r="E860" s="14"/>
      <c r="F860" s="14"/>
      <c r="G860" s="14"/>
      <c r="H860" s="15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>
      <c r="A861" s="9"/>
      <c r="B861" s="9"/>
      <c r="C861" s="14"/>
      <c r="D861" s="14"/>
      <c r="E861" s="14"/>
      <c r="F861" s="14"/>
      <c r="G861" s="14"/>
      <c r="H861" s="15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>
      <c r="A862" s="9"/>
      <c r="B862" s="9"/>
      <c r="C862" s="14"/>
      <c r="D862" s="14"/>
      <c r="E862" s="14"/>
      <c r="F862" s="14"/>
      <c r="G862" s="14"/>
      <c r="H862" s="15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>
      <c r="A863" s="9"/>
      <c r="B863" s="9"/>
      <c r="C863" s="14"/>
      <c r="D863" s="14"/>
      <c r="E863" s="14"/>
      <c r="F863" s="14"/>
      <c r="G863" s="14"/>
      <c r="H863" s="15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>
      <c r="A864" s="9"/>
      <c r="B864" s="9"/>
      <c r="C864" s="14"/>
      <c r="D864" s="14"/>
      <c r="E864" s="14"/>
      <c r="F864" s="14"/>
      <c r="G864" s="14"/>
      <c r="H864" s="15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>
      <c r="A865" s="9"/>
      <c r="B865" s="9"/>
      <c r="C865" s="14"/>
      <c r="D865" s="14"/>
      <c r="E865" s="14"/>
      <c r="F865" s="14"/>
      <c r="G865" s="14"/>
      <c r="H865" s="15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>
      <c r="A866" s="9"/>
      <c r="B866" s="9"/>
      <c r="C866" s="14"/>
      <c r="D866" s="14"/>
      <c r="E866" s="14"/>
      <c r="F866" s="14"/>
      <c r="G866" s="14"/>
      <c r="H866" s="15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>
      <c r="A867" s="9"/>
      <c r="B867" s="9"/>
      <c r="C867" s="14"/>
      <c r="D867" s="14"/>
      <c r="E867" s="14"/>
      <c r="F867" s="14"/>
      <c r="G867" s="14"/>
      <c r="H867" s="15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>
      <c r="A868" s="9"/>
      <c r="B868" s="9"/>
      <c r="C868" s="14"/>
      <c r="D868" s="14"/>
      <c r="E868" s="14"/>
      <c r="F868" s="14"/>
      <c r="G868" s="14"/>
      <c r="H868" s="15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>
      <c r="A869" s="9"/>
      <c r="B869" s="9"/>
      <c r="C869" s="14"/>
      <c r="D869" s="14"/>
      <c r="E869" s="14"/>
      <c r="F869" s="14"/>
      <c r="G869" s="14"/>
      <c r="H869" s="15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>
      <c r="A870" s="9"/>
      <c r="B870" s="9"/>
      <c r="C870" s="14"/>
      <c r="D870" s="14"/>
      <c r="E870" s="14"/>
      <c r="F870" s="14"/>
      <c r="G870" s="14"/>
      <c r="H870" s="15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>
      <c r="A871" s="9"/>
      <c r="B871" s="9"/>
      <c r="C871" s="14"/>
      <c r="D871" s="14"/>
      <c r="E871" s="14"/>
      <c r="F871" s="14"/>
      <c r="G871" s="14"/>
      <c r="H871" s="15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>
      <c r="A872" s="9"/>
      <c r="B872" s="9"/>
      <c r="C872" s="14"/>
      <c r="D872" s="14"/>
      <c r="E872" s="14"/>
      <c r="F872" s="14"/>
      <c r="G872" s="14"/>
      <c r="H872" s="15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>
      <c r="A873" s="9"/>
      <c r="B873" s="9"/>
      <c r="C873" s="14"/>
      <c r="D873" s="14"/>
      <c r="E873" s="14"/>
      <c r="F873" s="14"/>
      <c r="G873" s="14"/>
      <c r="H873" s="15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>
      <c r="A874" s="9"/>
      <c r="B874" s="9"/>
      <c r="C874" s="14"/>
      <c r="D874" s="14"/>
      <c r="E874" s="14"/>
      <c r="F874" s="14"/>
      <c r="G874" s="14"/>
      <c r="H874" s="15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>
      <c r="A875" s="9"/>
      <c r="B875" s="9"/>
      <c r="C875" s="14"/>
      <c r="D875" s="14"/>
      <c r="E875" s="14"/>
      <c r="F875" s="14"/>
      <c r="G875" s="14"/>
      <c r="H875" s="15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>
      <c r="A876" s="9"/>
      <c r="B876" s="9"/>
      <c r="C876" s="14"/>
      <c r="D876" s="14"/>
      <c r="E876" s="14"/>
      <c r="F876" s="14"/>
      <c r="G876" s="14"/>
      <c r="H876" s="15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>
      <c r="A877" s="9"/>
      <c r="B877" s="9"/>
      <c r="C877" s="14"/>
      <c r="D877" s="14"/>
      <c r="E877" s="14"/>
      <c r="F877" s="14"/>
      <c r="G877" s="14"/>
      <c r="H877" s="15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>
      <c r="A878" s="9"/>
      <c r="B878" s="9"/>
      <c r="C878" s="14"/>
      <c r="D878" s="14"/>
      <c r="E878" s="14"/>
      <c r="F878" s="14"/>
      <c r="G878" s="14"/>
      <c r="H878" s="15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>
      <c r="A879" s="9"/>
      <c r="B879" s="9"/>
      <c r="C879" s="14"/>
      <c r="D879" s="14"/>
      <c r="E879" s="14"/>
      <c r="F879" s="14"/>
      <c r="G879" s="14"/>
      <c r="H879" s="15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>
      <c r="A880" s="9"/>
      <c r="B880" s="9"/>
      <c r="C880" s="14"/>
      <c r="D880" s="14"/>
      <c r="E880" s="14"/>
      <c r="F880" s="14"/>
      <c r="G880" s="14"/>
      <c r="H880" s="15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>
      <c r="A881" s="9"/>
      <c r="B881" s="9"/>
      <c r="C881" s="14"/>
      <c r="D881" s="14"/>
      <c r="E881" s="14"/>
      <c r="F881" s="14"/>
      <c r="G881" s="14"/>
      <c r="H881" s="15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>
      <c r="A882" s="9"/>
      <c r="B882" s="9"/>
      <c r="C882" s="14"/>
      <c r="D882" s="14"/>
      <c r="E882" s="14"/>
      <c r="F882" s="14"/>
      <c r="G882" s="14"/>
      <c r="H882" s="15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>
      <c r="A883" s="9"/>
      <c r="B883" s="9"/>
      <c r="C883" s="14"/>
      <c r="D883" s="14"/>
      <c r="E883" s="14"/>
      <c r="F883" s="14"/>
      <c r="G883" s="14"/>
      <c r="H883" s="15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>
      <c r="A884" s="9"/>
      <c r="B884" s="9"/>
      <c r="C884" s="14"/>
      <c r="D884" s="14"/>
      <c r="E884" s="14"/>
      <c r="F884" s="14"/>
      <c r="G884" s="14"/>
      <c r="H884" s="15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>
      <c r="A885" s="9"/>
      <c r="B885" s="9"/>
      <c r="C885" s="14"/>
      <c r="D885" s="14"/>
      <c r="E885" s="14"/>
      <c r="F885" s="14"/>
      <c r="G885" s="14"/>
      <c r="H885" s="15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>
      <c r="A886" s="9"/>
      <c r="B886" s="9"/>
      <c r="C886" s="14"/>
      <c r="D886" s="14"/>
      <c r="E886" s="14"/>
      <c r="F886" s="14"/>
      <c r="G886" s="14"/>
      <c r="H886" s="15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>
      <c r="A887" s="9"/>
      <c r="B887" s="9"/>
      <c r="C887" s="14"/>
      <c r="D887" s="14"/>
      <c r="E887" s="14"/>
      <c r="F887" s="14"/>
      <c r="G887" s="14"/>
      <c r="H887" s="15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>
      <c r="A888" s="9"/>
      <c r="B888" s="9"/>
      <c r="C888" s="14"/>
      <c r="D888" s="14"/>
      <c r="E888" s="14"/>
      <c r="F888" s="14"/>
      <c r="G888" s="14"/>
      <c r="H888" s="15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>
      <c r="A889" s="9"/>
      <c r="B889" s="9"/>
      <c r="C889" s="14"/>
      <c r="D889" s="14"/>
      <c r="E889" s="14"/>
      <c r="F889" s="14"/>
      <c r="G889" s="14"/>
      <c r="H889" s="15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>
      <c r="A890" s="9"/>
      <c r="B890" s="9"/>
      <c r="C890" s="14"/>
      <c r="D890" s="14"/>
      <c r="E890" s="14"/>
      <c r="F890" s="14"/>
      <c r="G890" s="14"/>
      <c r="H890" s="15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>
      <c r="A891" s="9"/>
      <c r="B891" s="9"/>
      <c r="C891" s="14"/>
      <c r="D891" s="14"/>
      <c r="E891" s="14"/>
      <c r="F891" s="14"/>
      <c r="G891" s="14"/>
      <c r="H891" s="15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>
      <c r="A892" s="9"/>
      <c r="B892" s="9"/>
      <c r="C892" s="14"/>
      <c r="D892" s="14"/>
      <c r="E892" s="14"/>
      <c r="F892" s="14"/>
      <c r="G892" s="14"/>
      <c r="H892" s="15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>
      <c r="A893" s="9"/>
      <c r="B893" s="9"/>
      <c r="C893" s="14"/>
      <c r="D893" s="14"/>
      <c r="E893" s="14"/>
      <c r="F893" s="14"/>
      <c r="G893" s="14"/>
      <c r="H893" s="15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>
      <c r="A894" s="9"/>
      <c r="B894" s="9"/>
      <c r="C894" s="14"/>
      <c r="D894" s="14"/>
      <c r="E894" s="14"/>
      <c r="F894" s="14"/>
      <c r="G894" s="14"/>
      <c r="H894" s="15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>
      <c r="A895" s="9"/>
      <c r="B895" s="9"/>
      <c r="C895" s="14"/>
      <c r="D895" s="14"/>
      <c r="E895" s="14"/>
      <c r="F895" s="14"/>
      <c r="G895" s="14"/>
      <c r="H895" s="15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>
      <c r="A896" s="9"/>
      <c r="B896" s="9"/>
      <c r="C896" s="14"/>
      <c r="D896" s="14"/>
      <c r="E896" s="14"/>
      <c r="F896" s="14"/>
      <c r="G896" s="14"/>
      <c r="H896" s="15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>
      <c r="A897" s="9"/>
      <c r="B897" s="9"/>
      <c r="C897" s="14"/>
      <c r="D897" s="14"/>
      <c r="E897" s="14"/>
      <c r="F897" s="14"/>
      <c r="G897" s="14"/>
      <c r="H897" s="15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>
      <c r="A898" s="9"/>
      <c r="B898" s="9"/>
      <c r="C898" s="14"/>
      <c r="D898" s="14"/>
      <c r="E898" s="14"/>
      <c r="F898" s="14"/>
      <c r="G898" s="14"/>
      <c r="H898" s="15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>
      <c r="A899" s="9"/>
      <c r="B899" s="9"/>
      <c r="C899" s="14"/>
      <c r="D899" s="14"/>
      <c r="E899" s="14"/>
      <c r="F899" s="14"/>
      <c r="G899" s="14"/>
      <c r="H899" s="15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>
      <c r="A900" s="9"/>
      <c r="B900" s="9"/>
      <c r="C900" s="14"/>
      <c r="D900" s="14"/>
      <c r="E900" s="14"/>
      <c r="F900" s="14"/>
      <c r="G900" s="14"/>
      <c r="H900" s="15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>
      <c r="A901" s="9"/>
      <c r="B901" s="9"/>
      <c r="C901" s="14"/>
      <c r="D901" s="14"/>
      <c r="E901" s="14"/>
      <c r="F901" s="14"/>
      <c r="G901" s="14"/>
      <c r="H901" s="15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>
      <c r="A902" s="9"/>
      <c r="B902" s="9"/>
      <c r="C902" s="14"/>
      <c r="D902" s="14"/>
      <c r="E902" s="14"/>
      <c r="F902" s="14"/>
      <c r="G902" s="14"/>
      <c r="H902" s="15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>
      <c r="A903" s="9"/>
      <c r="B903" s="9"/>
      <c r="C903" s="14"/>
      <c r="D903" s="14"/>
      <c r="E903" s="14"/>
      <c r="F903" s="14"/>
      <c r="G903" s="14"/>
      <c r="H903" s="15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>
      <c r="A904" s="9"/>
      <c r="B904" s="9"/>
      <c r="C904" s="14"/>
      <c r="D904" s="14"/>
      <c r="E904" s="14"/>
      <c r="F904" s="14"/>
      <c r="G904" s="14"/>
      <c r="H904" s="15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>
      <c r="A905" s="9"/>
      <c r="B905" s="9"/>
      <c r="C905" s="14"/>
      <c r="D905" s="14"/>
      <c r="E905" s="14"/>
      <c r="F905" s="14"/>
      <c r="G905" s="14"/>
      <c r="H905" s="15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>
      <c r="A906" s="9"/>
      <c r="B906" s="9"/>
      <c r="C906" s="14"/>
      <c r="D906" s="14"/>
      <c r="E906" s="14"/>
      <c r="F906" s="14"/>
      <c r="G906" s="14"/>
      <c r="H906" s="15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>
      <c r="A907" s="9"/>
      <c r="B907" s="9"/>
      <c r="C907" s="14"/>
      <c r="D907" s="14"/>
      <c r="E907" s="14"/>
      <c r="F907" s="14"/>
      <c r="G907" s="14"/>
      <c r="H907" s="15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>
      <c r="A908" s="9"/>
      <c r="B908" s="9"/>
      <c r="C908" s="14"/>
      <c r="D908" s="14"/>
      <c r="E908" s="14"/>
      <c r="F908" s="14"/>
      <c r="G908" s="14"/>
      <c r="H908" s="15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>
      <c r="A909" s="9"/>
      <c r="B909" s="9"/>
      <c r="C909" s="14"/>
      <c r="D909" s="14"/>
      <c r="E909" s="14"/>
      <c r="F909" s="14"/>
      <c r="G909" s="14"/>
      <c r="H909" s="15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>
      <c r="A910" s="9"/>
      <c r="B910" s="9"/>
      <c r="C910" s="14"/>
      <c r="D910" s="14"/>
      <c r="E910" s="14"/>
      <c r="F910" s="14"/>
      <c r="G910" s="14"/>
      <c r="H910" s="15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>
      <c r="A911" s="9"/>
      <c r="B911" s="9"/>
      <c r="C911" s="14"/>
      <c r="D911" s="14"/>
      <c r="E911" s="14"/>
      <c r="F911" s="14"/>
      <c r="G911" s="14"/>
      <c r="H911" s="15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>
      <c r="A912" s="9"/>
      <c r="B912" s="9"/>
      <c r="C912" s="14"/>
      <c r="D912" s="14"/>
      <c r="E912" s="14"/>
      <c r="F912" s="14"/>
      <c r="G912" s="14"/>
      <c r="H912" s="15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>
      <c r="A913" s="9"/>
      <c r="B913" s="9"/>
      <c r="C913" s="14"/>
      <c r="D913" s="14"/>
      <c r="E913" s="14"/>
      <c r="F913" s="14"/>
      <c r="G913" s="14"/>
      <c r="H913" s="15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>
      <c r="A914" s="9"/>
      <c r="B914" s="9"/>
      <c r="C914" s="14"/>
      <c r="D914" s="14"/>
      <c r="E914" s="14"/>
      <c r="F914" s="14"/>
      <c r="G914" s="14"/>
      <c r="H914" s="15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>
      <c r="A915" s="9"/>
      <c r="B915" s="9"/>
      <c r="C915" s="14"/>
      <c r="D915" s="14"/>
      <c r="E915" s="14"/>
      <c r="F915" s="14"/>
      <c r="G915" s="14"/>
      <c r="H915" s="15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>
      <c r="A916" s="9"/>
      <c r="B916" s="9"/>
      <c r="C916" s="14"/>
      <c r="D916" s="14"/>
      <c r="E916" s="14"/>
      <c r="F916" s="14"/>
      <c r="G916" s="14"/>
      <c r="H916" s="15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>
      <c r="A917" s="9"/>
      <c r="B917" s="9"/>
      <c r="C917" s="14"/>
      <c r="D917" s="14"/>
      <c r="E917" s="14"/>
      <c r="F917" s="14"/>
      <c r="G917" s="14"/>
      <c r="H917" s="15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>
      <c r="A918" s="9"/>
      <c r="B918" s="9"/>
      <c r="C918" s="14"/>
      <c r="D918" s="14"/>
      <c r="E918" s="14"/>
      <c r="F918" s="14"/>
      <c r="G918" s="14"/>
      <c r="H918" s="15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>
      <c r="A919" s="9"/>
      <c r="B919" s="9"/>
      <c r="C919" s="14"/>
      <c r="D919" s="14"/>
      <c r="E919" s="14"/>
      <c r="F919" s="14"/>
      <c r="G919" s="14"/>
      <c r="H919" s="15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>
      <c r="A920" s="9"/>
      <c r="B920" s="9"/>
      <c r="C920" s="14"/>
      <c r="D920" s="14"/>
      <c r="E920" s="14"/>
      <c r="F920" s="14"/>
      <c r="G920" s="14"/>
      <c r="H920" s="15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>
      <c r="A921" s="9"/>
      <c r="B921" s="9"/>
      <c r="C921" s="14"/>
      <c r="D921" s="14"/>
      <c r="E921" s="14"/>
      <c r="F921" s="14"/>
      <c r="G921" s="14"/>
      <c r="H921" s="15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>
      <c r="A922" s="9"/>
      <c r="B922" s="9"/>
      <c r="C922" s="14"/>
      <c r="D922" s="14"/>
      <c r="E922" s="14"/>
      <c r="F922" s="14"/>
      <c r="G922" s="14"/>
      <c r="H922" s="15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>
      <c r="A923" s="9"/>
      <c r="B923" s="9"/>
      <c r="C923" s="14"/>
      <c r="D923" s="14"/>
      <c r="E923" s="14"/>
      <c r="F923" s="14"/>
      <c r="G923" s="14"/>
      <c r="H923" s="15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>
      <c r="A924" s="9"/>
      <c r="B924" s="9"/>
      <c r="C924" s="14"/>
      <c r="D924" s="14"/>
      <c r="E924" s="14"/>
      <c r="F924" s="14"/>
      <c r="G924" s="14"/>
      <c r="H924" s="15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>
      <c r="A925" s="9"/>
      <c r="B925" s="9"/>
      <c r="C925" s="14"/>
      <c r="D925" s="14"/>
      <c r="E925" s="14"/>
      <c r="F925" s="14"/>
      <c r="G925" s="14"/>
      <c r="H925" s="15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>
      <c r="A926" s="9"/>
      <c r="B926" s="9"/>
      <c r="C926" s="14"/>
      <c r="D926" s="14"/>
      <c r="E926" s="14"/>
      <c r="F926" s="14"/>
      <c r="G926" s="14"/>
      <c r="H926" s="15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>
      <c r="A927" s="9"/>
      <c r="B927" s="9"/>
      <c r="C927" s="14"/>
      <c r="D927" s="14"/>
      <c r="E927" s="14"/>
      <c r="F927" s="14"/>
      <c r="G927" s="14"/>
      <c r="H927" s="15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>
      <c r="A928" s="9"/>
      <c r="B928" s="9"/>
      <c r="C928" s="14"/>
      <c r="D928" s="14"/>
      <c r="E928" s="14"/>
      <c r="F928" s="14"/>
      <c r="G928" s="14"/>
      <c r="H928" s="15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>
      <c r="A929" s="9"/>
      <c r="B929" s="9"/>
      <c r="C929" s="14"/>
      <c r="D929" s="14"/>
      <c r="E929" s="14"/>
      <c r="F929" s="14"/>
      <c r="G929" s="14"/>
      <c r="H929" s="15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>
      <c r="A930" s="9"/>
      <c r="B930" s="9"/>
      <c r="C930" s="14"/>
      <c r="D930" s="14"/>
      <c r="E930" s="14"/>
      <c r="F930" s="14"/>
      <c r="G930" s="14"/>
      <c r="H930" s="15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>
      <c r="A931" s="9"/>
      <c r="B931" s="9"/>
      <c r="C931" s="14"/>
      <c r="D931" s="14"/>
      <c r="E931" s="14"/>
      <c r="F931" s="14"/>
      <c r="G931" s="14"/>
      <c r="H931" s="15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>
      <c r="A932" s="9"/>
      <c r="B932" s="9"/>
      <c r="C932" s="14"/>
      <c r="D932" s="14"/>
      <c r="E932" s="14"/>
      <c r="F932" s="14"/>
      <c r="G932" s="14"/>
      <c r="H932" s="15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>
      <c r="A933" s="9"/>
      <c r="B933" s="9"/>
      <c r="C933" s="14"/>
      <c r="D933" s="14"/>
      <c r="E933" s="14"/>
      <c r="F933" s="14"/>
      <c r="G933" s="14"/>
      <c r="H933" s="15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>
      <c r="A934" s="9"/>
      <c r="B934" s="9"/>
      <c r="C934" s="14"/>
      <c r="D934" s="14"/>
      <c r="E934" s="14"/>
      <c r="F934" s="14"/>
      <c r="G934" s="14"/>
      <c r="H934" s="15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>
      <c r="A935" s="9"/>
      <c r="B935" s="9"/>
      <c r="C935" s="14"/>
      <c r="D935" s="14"/>
      <c r="E935" s="14"/>
      <c r="F935" s="14"/>
      <c r="G935" s="14"/>
      <c r="H935" s="15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>
      <c r="A936" s="9"/>
      <c r="B936" s="9"/>
      <c r="C936" s="14"/>
      <c r="D936" s="14"/>
      <c r="E936" s="14"/>
      <c r="F936" s="14"/>
      <c r="G936" s="14"/>
      <c r="H936" s="15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>
      <c r="A937" s="9"/>
      <c r="B937" s="9"/>
      <c r="C937" s="14"/>
      <c r="D937" s="14"/>
      <c r="E937" s="14"/>
      <c r="F937" s="14"/>
      <c r="G937" s="14"/>
      <c r="H937" s="15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>
      <c r="A938" s="9"/>
      <c r="B938" s="9"/>
      <c r="C938" s="14"/>
      <c r="D938" s="14"/>
      <c r="E938" s="14"/>
      <c r="F938" s="14"/>
      <c r="G938" s="14"/>
      <c r="H938" s="15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>
      <c r="A939" s="9"/>
      <c r="B939" s="9"/>
      <c r="C939" s="14"/>
      <c r="D939" s="14"/>
      <c r="E939" s="14"/>
      <c r="F939" s="14"/>
      <c r="G939" s="14"/>
      <c r="H939" s="15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>
      <c r="A940" s="9"/>
      <c r="B940" s="9"/>
      <c r="C940" s="14"/>
      <c r="D940" s="14"/>
      <c r="E940" s="14"/>
      <c r="F940" s="14"/>
      <c r="G940" s="14"/>
      <c r="H940" s="15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>
      <c r="A941" s="9"/>
      <c r="B941" s="9"/>
      <c r="C941" s="14"/>
      <c r="D941" s="14"/>
      <c r="E941" s="14"/>
      <c r="F941" s="14"/>
      <c r="G941" s="14"/>
      <c r="H941" s="15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>
      <c r="A942" s="9"/>
      <c r="B942" s="9"/>
      <c r="C942" s="14"/>
      <c r="D942" s="14"/>
      <c r="E942" s="14"/>
      <c r="F942" s="14"/>
      <c r="G942" s="14"/>
      <c r="H942" s="15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>
      <c r="A943" s="9"/>
      <c r="B943" s="9"/>
      <c r="C943" s="14"/>
      <c r="D943" s="14"/>
      <c r="E943" s="14"/>
      <c r="F943" s="14"/>
      <c r="G943" s="14"/>
      <c r="H943" s="15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>
      <c r="A944" s="9"/>
      <c r="B944" s="9"/>
      <c r="C944" s="14"/>
      <c r="D944" s="14"/>
      <c r="E944" s="14"/>
      <c r="F944" s="14"/>
      <c r="G944" s="14"/>
      <c r="H944" s="15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>
      <c r="A945" s="9"/>
      <c r="B945" s="9"/>
      <c r="C945" s="14"/>
      <c r="D945" s="14"/>
      <c r="E945" s="14"/>
      <c r="F945" s="14"/>
      <c r="G945" s="14"/>
      <c r="H945" s="15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>
      <c r="A946" s="9"/>
      <c r="B946" s="9"/>
      <c r="C946" s="14"/>
      <c r="D946" s="14"/>
      <c r="E946" s="14"/>
      <c r="F946" s="14"/>
      <c r="G946" s="14"/>
      <c r="H946" s="15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>
      <c r="A947" s="9"/>
      <c r="B947" s="9"/>
      <c r="C947" s="14"/>
      <c r="D947" s="14"/>
      <c r="E947" s="14"/>
      <c r="F947" s="14"/>
      <c r="G947" s="14"/>
      <c r="H947" s="15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>
      <c r="A948" s="9"/>
      <c r="B948" s="9"/>
      <c r="C948" s="14"/>
      <c r="D948" s="14"/>
      <c r="E948" s="14"/>
      <c r="F948" s="14"/>
      <c r="G948" s="14"/>
      <c r="H948" s="15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>
      <c r="A949" s="9"/>
      <c r="B949" s="9"/>
      <c r="C949" s="14"/>
      <c r="D949" s="14"/>
      <c r="E949" s="14"/>
      <c r="F949" s="14"/>
      <c r="G949" s="14"/>
      <c r="H949" s="15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>
      <c r="A950" s="9"/>
      <c r="B950" s="9"/>
      <c r="C950" s="14"/>
      <c r="D950" s="14"/>
      <c r="E950" s="14"/>
      <c r="F950" s="14"/>
      <c r="G950" s="14"/>
      <c r="H950" s="15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>
      <c r="A951" s="9"/>
      <c r="B951" s="9"/>
      <c r="C951" s="14"/>
      <c r="D951" s="14"/>
      <c r="E951" s="14"/>
      <c r="F951" s="14"/>
      <c r="G951" s="14"/>
      <c r="H951" s="15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>
      <c r="A952" s="9"/>
      <c r="B952" s="9"/>
      <c r="C952" s="14"/>
      <c r="D952" s="14"/>
      <c r="E952" s="14"/>
      <c r="F952" s="14"/>
      <c r="G952" s="14"/>
      <c r="H952" s="15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>
      <c r="A953" s="9"/>
      <c r="B953" s="9"/>
      <c r="C953" s="14"/>
      <c r="D953" s="14"/>
      <c r="E953" s="14"/>
      <c r="F953" s="14"/>
      <c r="G953" s="14"/>
      <c r="H953" s="15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>
      <c r="A954" s="9"/>
      <c r="B954" s="9"/>
      <c r="C954" s="14"/>
      <c r="D954" s="14"/>
      <c r="E954" s="14"/>
      <c r="F954" s="14"/>
      <c r="G954" s="14"/>
      <c r="H954" s="15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>
      <c r="A955" s="9"/>
      <c r="B955" s="9"/>
      <c r="C955" s="14"/>
      <c r="D955" s="14"/>
      <c r="E955" s="14"/>
      <c r="F955" s="14"/>
      <c r="G955" s="14"/>
      <c r="H955" s="15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>
      <c r="A956" s="9"/>
      <c r="B956" s="9"/>
      <c r="C956" s="14"/>
      <c r="D956" s="14"/>
      <c r="E956" s="14"/>
      <c r="F956" s="14"/>
      <c r="G956" s="14"/>
      <c r="H956" s="15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>
      <c r="A957" s="9"/>
      <c r="B957" s="9"/>
      <c r="C957" s="14"/>
      <c r="D957" s="14"/>
      <c r="E957" s="14"/>
      <c r="F957" s="14"/>
      <c r="G957" s="14"/>
      <c r="H957" s="15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>
      <c r="A958" s="9"/>
      <c r="B958" s="9"/>
      <c r="C958" s="14"/>
      <c r="D958" s="14"/>
      <c r="E958" s="14"/>
      <c r="F958" s="14"/>
      <c r="G958" s="14"/>
      <c r="H958" s="15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>
      <c r="A959" s="9"/>
      <c r="B959" s="9"/>
      <c r="C959" s="14"/>
      <c r="D959" s="14"/>
      <c r="E959" s="14"/>
      <c r="F959" s="14"/>
      <c r="G959" s="14"/>
      <c r="H959" s="15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>
      <c r="A960" s="9"/>
      <c r="B960" s="9"/>
      <c r="C960" s="14"/>
      <c r="D960" s="14"/>
      <c r="E960" s="14"/>
      <c r="F960" s="14"/>
      <c r="G960" s="14"/>
      <c r="H960" s="15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>
      <c r="A961" s="9"/>
      <c r="B961" s="9"/>
      <c r="C961" s="14"/>
      <c r="D961" s="14"/>
      <c r="E961" s="14"/>
      <c r="F961" s="14"/>
      <c r="G961" s="14"/>
      <c r="H961" s="15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>
      <c r="A962" s="9"/>
      <c r="B962" s="9"/>
      <c r="C962" s="14"/>
      <c r="D962" s="14"/>
      <c r="E962" s="14"/>
      <c r="F962" s="14"/>
      <c r="G962" s="14"/>
      <c r="H962" s="15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>
      <c r="A963" s="9"/>
      <c r="B963" s="9"/>
      <c r="C963" s="14"/>
      <c r="D963" s="14"/>
      <c r="E963" s="14"/>
      <c r="F963" s="14"/>
      <c r="G963" s="14"/>
      <c r="H963" s="15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>
      <c r="A964" s="9"/>
      <c r="B964" s="9"/>
      <c r="C964" s="14"/>
      <c r="D964" s="14"/>
      <c r="E964" s="14"/>
      <c r="F964" s="14"/>
      <c r="G964" s="14"/>
      <c r="H964" s="15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>
      <c r="A965" s="9"/>
      <c r="B965" s="9"/>
      <c r="C965" s="14"/>
      <c r="D965" s="14"/>
      <c r="E965" s="14"/>
      <c r="F965" s="14"/>
      <c r="G965" s="14"/>
      <c r="H965" s="15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>
      <c r="A966" s="9"/>
      <c r="B966" s="9"/>
      <c r="C966" s="14"/>
      <c r="D966" s="14"/>
      <c r="E966" s="14"/>
      <c r="F966" s="14"/>
      <c r="G966" s="14"/>
      <c r="H966" s="15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>
      <c r="A967" s="9"/>
      <c r="B967" s="9"/>
      <c r="C967" s="14"/>
      <c r="D967" s="14"/>
      <c r="E967" s="14"/>
      <c r="F967" s="14"/>
      <c r="G967" s="14"/>
      <c r="H967" s="15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>
      <c r="A968" s="9"/>
      <c r="B968" s="9"/>
      <c r="C968" s="14"/>
      <c r="D968" s="14"/>
      <c r="E968" s="14"/>
      <c r="F968" s="14"/>
      <c r="G968" s="14"/>
      <c r="H968" s="15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>
      <c r="A969" s="9"/>
      <c r="B969" s="9"/>
      <c r="C969" s="14"/>
      <c r="D969" s="14"/>
      <c r="E969" s="14"/>
      <c r="F969" s="14"/>
      <c r="G969" s="14"/>
      <c r="H969" s="15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>
      <c r="A970" s="9"/>
      <c r="B970" s="9"/>
      <c r="C970" s="14"/>
      <c r="D970" s="14"/>
      <c r="E970" s="14"/>
      <c r="F970" s="14"/>
      <c r="G970" s="14"/>
      <c r="H970" s="15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>
      <c r="A971" s="9"/>
      <c r="B971" s="9"/>
      <c r="C971" s="14"/>
      <c r="D971" s="14"/>
      <c r="E971" s="14"/>
      <c r="F971" s="14"/>
      <c r="G971" s="14"/>
      <c r="H971" s="15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>
      <c r="A972" s="9"/>
      <c r="B972" s="9"/>
      <c r="C972" s="14"/>
      <c r="D972" s="14"/>
      <c r="E972" s="14"/>
      <c r="F972" s="14"/>
      <c r="G972" s="14"/>
      <c r="H972" s="15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>
      <c r="A973" s="9"/>
      <c r="B973" s="9"/>
      <c r="C973" s="14"/>
      <c r="D973" s="14"/>
      <c r="E973" s="14"/>
      <c r="F973" s="14"/>
      <c r="G973" s="14"/>
      <c r="H973" s="15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>
      <c r="A974" s="9"/>
      <c r="B974" s="9"/>
      <c r="C974" s="14"/>
      <c r="D974" s="14"/>
      <c r="E974" s="14"/>
      <c r="F974" s="14"/>
      <c r="G974" s="14"/>
      <c r="H974" s="15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>
      <c r="A975" s="9"/>
      <c r="B975" s="9"/>
      <c r="C975" s="14"/>
      <c r="D975" s="14"/>
      <c r="E975" s="14"/>
      <c r="F975" s="14"/>
      <c r="G975" s="14"/>
      <c r="H975" s="15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>
      <c r="A976" s="9"/>
      <c r="B976" s="9"/>
      <c r="C976" s="14"/>
      <c r="D976" s="14"/>
      <c r="E976" s="14"/>
      <c r="F976" s="14"/>
      <c r="G976" s="14"/>
      <c r="H976" s="15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>
      <c r="A977" s="9"/>
      <c r="B977" s="9"/>
      <c r="C977" s="14"/>
      <c r="D977" s="14"/>
      <c r="E977" s="14"/>
      <c r="F977" s="14"/>
      <c r="G977" s="14"/>
      <c r="H977" s="15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>
      <c r="A978" s="9"/>
      <c r="B978" s="9"/>
      <c r="C978" s="14"/>
      <c r="D978" s="14"/>
      <c r="E978" s="14"/>
      <c r="F978" s="14"/>
      <c r="G978" s="14"/>
      <c r="H978" s="15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>
      <c r="A979" s="9"/>
      <c r="B979" s="9"/>
      <c r="C979" s="14"/>
      <c r="D979" s="14"/>
      <c r="E979" s="14"/>
      <c r="F979" s="14"/>
      <c r="G979" s="14"/>
      <c r="H979" s="15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>
      <c r="A980" s="9"/>
      <c r="B980" s="9"/>
      <c r="C980" s="14"/>
      <c r="D980" s="14"/>
      <c r="E980" s="14"/>
      <c r="F980" s="14"/>
      <c r="G980" s="14"/>
      <c r="H980" s="15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>
      <c r="A981" s="9"/>
      <c r="B981" s="9"/>
      <c r="C981" s="14"/>
      <c r="D981" s="14"/>
      <c r="E981" s="14"/>
      <c r="F981" s="14"/>
      <c r="G981" s="14"/>
      <c r="H981" s="15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>
      <c r="A982" s="9"/>
      <c r="B982" s="9"/>
      <c r="C982" s="14"/>
      <c r="D982" s="14"/>
      <c r="E982" s="14"/>
      <c r="F982" s="14"/>
      <c r="G982" s="14"/>
      <c r="H982" s="15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>
      <c r="A983" s="9"/>
      <c r="B983" s="9"/>
      <c r="C983" s="14"/>
      <c r="D983" s="14"/>
      <c r="E983" s="14"/>
      <c r="F983" s="14"/>
      <c r="G983" s="14"/>
      <c r="H983" s="15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>
      <c r="A984" s="9"/>
      <c r="B984" s="9"/>
      <c r="C984" s="14"/>
      <c r="D984" s="14"/>
      <c r="E984" s="14"/>
      <c r="F984" s="14"/>
      <c r="G984" s="14"/>
      <c r="H984" s="15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>
      <c r="A985" s="9"/>
      <c r="B985" s="9"/>
      <c r="C985" s="14"/>
      <c r="D985" s="14"/>
      <c r="E985" s="14"/>
      <c r="F985" s="14"/>
      <c r="G985" s="14"/>
      <c r="H985" s="15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>
      <c r="A986" s="9"/>
      <c r="B986" s="9"/>
      <c r="C986" s="14"/>
      <c r="D986" s="14"/>
      <c r="E986" s="14"/>
      <c r="F986" s="14"/>
      <c r="G986" s="14"/>
      <c r="H986" s="15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>
      <c r="A987" s="9"/>
      <c r="B987" s="9"/>
      <c r="C987" s="14"/>
      <c r="D987" s="14"/>
      <c r="E987" s="14"/>
      <c r="F987" s="14"/>
      <c r="G987" s="14"/>
      <c r="H987" s="15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>
      <c r="A988" s="9"/>
      <c r="B988" s="9"/>
      <c r="C988" s="14"/>
      <c r="D988" s="14"/>
      <c r="E988" s="14"/>
      <c r="F988" s="14"/>
      <c r="G988" s="14"/>
      <c r="H988" s="15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>
      <c r="A989" s="9"/>
      <c r="B989" s="9"/>
      <c r="C989" s="14"/>
      <c r="D989" s="14"/>
      <c r="E989" s="14"/>
      <c r="F989" s="14"/>
      <c r="G989" s="14"/>
      <c r="H989" s="15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>
      <c r="A990" s="9"/>
      <c r="B990" s="9"/>
      <c r="C990" s="14"/>
      <c r="D990" s="14"/>
      <c r="E990" s="14"/>
      <c r="F990" s="14"/>
      <c r="G990" s="14"/>
      <c r="H990" s="15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>
      <c r="A991" s="9"/>
      <c r="B991" s="9"/>
      <c r="C991" s="14"/>
      <c r="D991" s="14"/>
      <c r="E991" s="14"/>
      <c r="F991" s="14"/>
      <c r="G991" s="14"/>
      <c r="H991" s="15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>
      <c r="A992" s="9"/>
      <c r="B992" s="9"/>
      <c r="C992" s="14"/>
      <c r="D992" s="14"/>
      <c r="E992" s="14"/>
      <c r="F992" s="14"/>
      <c r="G992" s="14"/>
      <c r="H992" s="15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>
      <c r="A993" s="9"/>
      <c r="B993" s="9"/>
      <c r="C993" s="14"/>
      <c r="D993" s="14"/>
      <c r="E993" s="14"/>
      <c r="F993" s="14"/>
      <c r="G993" s="14"/>
      <c r="H993" s="15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>
      <c r="A994" s="9"/>
      <c r="B994" s="9"/>
      <c r="C994" s="14"/>
      <c r="D994" s="14"/>
      <c r="E994" s="14"/>
      <c r="F994" s="14"/>
      <c r="G994" s="14"/>
      <c r="H994" s="15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>
      <c r="A995" s="9"/>
      <c r="B995" s="9"/>
      <c r="C995" s="14"/>
      <c r="D995" s="14"/>
      <c r="E995" s="14"/>
      <c r="F995" s="14"/>
      <c r="G995" s="14"/>
      <c r="H995" s="15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>
      <c r="A996" s="9"/>
      <c r="B996" s="9"/>
      <c r="C996" s="14"/>
      <c r="D996" s="14"/>
      <c r="E996" s="14"/>
      <c r="F996" s="14"/>
      <c r="G996" s="14"/>
      <c r="H996" s="15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>
      <c r="A997" s="9"/>
      <c r="B997" s="9"/>
      <c r="C997" s="14"/>
      <c r="D997" s="14"/>
      <c r="E997" s="14"/>
      <c r="F997" s="14"/>
      <c r="G997" s="14"/>
      <c r="H997" s="15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>
      <c r="A998" s="9"/>
      <c r="B998" s="9"/>
      <c r="C998" s="14"/>
      <c r="D998" s="14"/>
      <c r="E998" s="14"/>
      <c r="F998" s="14"/>
      <c r="G998" s="14"/>
      <c r="H998" s="15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>
      <c r="A999" s="9"/>
      <c r="B999" s="9"/>
      <c r="C999" s="14"/>
      <c r="D999" s="14"/>
      <c r="E999" s="14"/>
      <c r="F999" s="14"/>
      <c r="G999" s="14"/>
      <c r="H999" s="15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>
      <c r="A1000" s="9"/>
      <c r="B1000" s="9"/>
      <c r="C1000" s="14"/>
      <c r="D1000" s="14"/>
      <c r="E1000" s="14"/>
      <c r="F1000" s="14"/>
      <c r="G1000" s="14"/>
      <c r="H1000" s="15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  <row r="1001">
      <c r="A1001" s="9"/>
      <c r="B1001" s="9"/>
      <c r="C1001" s="14"/>
      <c r="D1001" s="14"/>
      <c r="E1001" s="14"/>
      <c r="F1001" s="14"/>
      <c r="G1001" s="14"/>
      <c r="H1001" s="15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</row>
    <row r="1002">
      <c r="A1002" s="9"/>
      <c r="B1002" s="9"/>
      <c r="C1002" s="14"/>
      <c r="D1002" s="14"/>
      <c r="E1002" s="14"/>
      <c r="F1002" s="14"/>
      <c r="G1002" s="14"/>
      <c r="H1002" s="15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</row>
    <row r="1003">
      <c r="A1003" s="9"/>
      <c r="B1003" s="9"/>
      <c r="C1003" s="14"/>
      <c r="D1003" s="14"/>
      <c r="E1003" s="14"/>
      <c r="F1003" s="14"/>
      <c r="G1003" s="14"/>
      <c r="H1003" s="15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</row>
    <row r="1004">
      <c r="A1004" s="9"/>
      <c r="B1004" s="9"/>
      <c r="C1004" s="14"/>
      <c r="D1004" s="14"/>
      <c r="E1004" s="14"/>
      <c r="F1004" s="14"/>
      <c r="G1004" s="14"/>
      <c r="H1004" s="15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</row>
    <row r="1005">
      <c r="A1005" s="9"/>
      <c r="B1005" s="9"/>
      <c r="C1005" s="14"/>
      <c r="D1005" s="14"/>
      <c r="E1005" s="14"/>
      <c r="F1005" s="14"/>
      <c r="G1005" s="14"/>
      <c r="H1005" s="15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</row>
    <row r="1006">
      <c r="A1006" s="9"/>
      <c r="B1006" s="9"/>
      <c r="C1006" s="14"/>
      <c r="D1006" s="14"/>
      <c r="E1006" s="14"/>
      <c r="F1006" s="14"/>
      <c r="G1006" s="14"/>
      <c r="H1006" s="15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</row>
    <row r="1007">
      <c r="A1007" s="9"/>
      <c r="B1007" s="9"/>
      <c r="C1007" s="14"/>
      <c r="D1007" s="14"/>
      <c r="E1007" s="14"/>
      <c r="F1007" s="14"/>
      <c r="G1007" s="14"/>
      <c r="H1007" s="15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</row>
    <row r="1008">
      <c r="A1008" s="9"/>
      <c r="B1008" s="9"/>
      <c r="C1008" s="14"/>
      <c r="D1008" s="14"/>
      <c r="E1008" s="14"/>
      <c r="F1008" s="14"/>
      <c r="G1008" s="14"/>
      <c r="H1008" s="15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</row>
    <row r="1009">
      <c r="A1009" s="9"/>
      <c r="B1009" s="9"/>
      <c r="C1009" s="14"/>
      <c r="D1009" s="14"/>
      <c r="E1009" s="14"/>
      <c r="F1009" s="14"/>
      <c r="G1009" s="14"/>
      <c r="H1009" s="15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</row>
    <row r="1010">
      <c r="A1010" s="9"/>
      <c r="B1010" s="9"/>
      <c r="C1010" s="14"/>
      <c r="D1010" s="14"/>
      <c r="E1010" s="14"/>
      <c r="F1010" s="14"/>
      <c r="G1010" s="14"/>
      <c r="H1010" s="15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</row>
    <row r="1011">
      <c r="I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</row>
  </sheetData>
  <mergeCells count="2">
    <mergeCell ref="A64:B64"/>
    <mergeCell ref="J64:K64"/>
  </mergeCells>
  <conditionalFormatting sqref="H1:H1011 T1:U65">
    <cfRule type="cellIs" dxfId="1" priority="1" operator="lessThan">
      <formula>0</formula>
    </cfRule>
  </conditionalFormatting>
  <conditionalFormatting sqref="H1:H1011 T1:U65">
    <cfRule type="cellIs" dxfId="5" priority="2" operator="greaterThan">
      <formula>0</formula>
    </cfRule>
  </conditionalFormatting>
  <conditionalFormatting sqref="C2:G65 L2:S65">
    <cfRule type="cellIs" dxfId="6" priority="3" operator="greaterThanOrEqual">
      <formula>0.3</formula>
    </cfRule>
  </conditionalFormatting>
  <conditionalFormatting sqref="C2:G65 L2:S65">
    <cfRule type="cellIs" dxfId="2" priority="4" operator="lessThan">
      <formula>0.3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2.75"/>
    <col customWidth="1" min="3" max="3" width="13.75"/>
    <col customWidth="1" min="4" max="4" width="16.75"/>
    <col customWidth="1" min="5" max="5" width="7.38"/>
    <col customWidth="1" min="6" max="6" width="32.88"/>
  </cols>
  <sheetData>
    <row r="1">
      <c r="A1" s="19" t="str">
        <f>IFERROR(__xludf.DUMMYFUNCTION("QUERY(IMPORTRANGE(""1bD-zREAsjqKqtu11QL1sC-ZC3YxrWtWkXHIU16VK6lg"",""BC!A1:D""),""SELECT Col3, Col4, Col2, Col1"",1)"),"warehouse_id")</f>
        <v>warehouse_id</v>
      </c>
      <c r="B1" s="19" t="str">
        <f>IFERROR(__xludf.DUMMYFUNCTION("""COMPUTED_VALUE"""),"warehouse_name")</f>
        <v>warehouse_name</v>
      </c>
      <c r="C1" s="19" t="str">
        <f>IFERROR(__xludf.DUMMYFUNCTION("""COMPUTED_VALUE"""),"province_name")</f>
        <v>province_name</v>
      </c>
      <c r="D1" s="19" t="str">
        <f>IFERROR(__xludf.DUMMYFUNCTION("""COMPUTED_VALUE"""),"am_name")</f>
        <v>am_name</v>
      </c>
      <c r="E1" s="19" t="s">
        <v>136</v>
      </c>
      <c r="F1" s="19" t="s">
        <v>137</v>
      </c>
    </row>
    <row r="2">
      <c r="A2" s="20">
        <f>IFERROR(__xludf.DUMMYFUNCTION("""COMPUTED_VALUE"""),2.2031E7)</f>
        <v>22031000</v>
      </c>
      <c r="B2" s="21" t="str">
        <f>IFERROR(__xludf.DUMMYFUNCTION("""COMPUTED_VALUE"""),"Bưu Cục Ấp 2-Phú Nhuận-Bến Tre")</f>
        <v>Bưu Cục Ấp 2-Phú Nhuận-Bến Tre</v>
      </c>
      <c r="C2" s="21" t="str">
        <f>IFERROR(__xludf.DUMMYFUNCTION("""COMPUTED_VALUE"""),"Bến Tre")</f>
        <v>Bến Tre</v>
      </c>
      <c r="D2" s="21" t="str">
        <f>IFERROR(__xludf.DUMMYFUNCTION("""COMPUTED_VALUE"""),"Lâm Xuân Vinh")</f>
        <v>Lâm Xuân Vinh</v>
      </c>
      <c r="E2" s="20">
        <f>IFERROR(__xludf.DUMMYFUNCTION("ArrayFormula(XLOOKUP(D2:D1000,
IMPORTRANGE(""1bD-zREAsjqKqtu11QL1sC-ZC3YxrWtWkXHIU16VK6lg"",""AM!B:B""),
IMPORTRANGE(""1bD-zREAsjqKqtu11QL1sC-ZC3YxrWtWkXHIU16VK6lg"",""AM!A:A"")))"),200407.0)</f>
        <v>200407</v>
      </c>
      <c r="F2" s="21" t="str">
        <f>IFERROR(__xludf.DUMMYFUNCTION("ArrayFormula(XLOOKUP(D2:D1000,
IMPORTRANGE(""1bD-zREAsjqKqtu11QL1sC-ZC3YxrWtWkXHIU16VK6lg"",""AM!B:B""),
IMPORTRANGE(""1bD-zREAsjqKqtu11QL1sC-ZC3YxrWtWkXHIU16VK6lg"",""AM!C:C"")))"),"@Vinhlxbentre")</f>
        <v>@Vinhlxbentre</v>
      </c>
    </row>
    <row r="3">
      <c r="A3" s="20">
        <f>IFERROR(__xludf.DUMMYFUNCTION("""COMPUTED_VALUE"""),2.0153E7)</f>
        <v>20153000</v>
      </c>
      <c r="B3" s="21" t="str">
        <f>IFERROR(__xludf.DUMMYFUNCTION("""COMPUTED_VALUE"""),"Bưu Cục Ấp 5A Thị Trấn Giồng Trôm-Giồng Trôm-Bến Tre")</f>
        <v>Bưu Cục Ấp 5A Thị Trấn Giồng Trôm-Giồng Trôm-Bến Tre</v>
      </c>
      <c r="C3" s="21" t="str">
        <f>IFERROR(__xludf.DUMMYFUNCTION("""COMPUTED_VALUE"""),"Bến Tre")</f>
        <v>Bến Tre</v>
      </c>
      <c r="D3" s="21" t="str">
        <f>IFERROR(__xludf.DUMMYFUNCTION("""COMPUTED_VALUE"""),"Nguyễn Thành Huy")</f>
        <v>Nguyễn Thành Huy</v>
      </c>
      <c r="E3" s="20">
        <f>IFERROR(__xludf.DUMMYFUNCTION("""COMPUTED_VALUE"""),2047719.0)</f>
        <v>2047719</v>
      </c>
      <c r="F3" s="21" t="str">
        <f>IFERROR(__xludf.DUMMYFUNCTION("""COMPUTED_VALUE"""),"@nguyenthanhhuytv")</f>
        <v>@nguyenthanhhuytv</v>
      </c>
    </row>
    <row r="4">
      <c r="A4" s="20">
        <f>IFERROR(__xludf.DUMMYFUNCTION("""COMPUTED_VALUE"""),2.2337E7)</f>
        <v>22337000</v>
      </c>
      <c r="B4" s="21" t="str">
        <f>IFERROR(__xludf.DUMMYFUNCTION("""COMPUTED_VALUE"""),"Bưu Cục Phước Hậu-Phước Mỹ Trung-Bến Tre")</f>
        <v>Bưu Cục Phước Hậu-Phước Mỹ Trung-Bến Tre</v>
      </c>
      <c r="C4" s="21" t="str">
        <f>IFERROR(__xludf.DUMMYFUNCTION("""COMPUTED_VALUE"""),"Bến Tre")</f>
        <v>Bến Tre</v>
      </c>
      <c r="D4" s="21" t="str">
        <f>IFERROR(__xludf.DUMMYFUNCTION("""COMPUTED_VALUE"""),"Lâm Xuân Vinh")</f>
        <v>Lâm Xuân Vinh</v>
      </c>
      <c r="E4" s="20">
        <f>IFERROR(__xludf.DUMMYFUNCTION("""COMPUTED_VALUE"""),200407.0)</f>
        <v>200407</v>
      </c>
      <c r="F4" s="21" t="str">
        <f>IFERROR(__xludf.DUMMYFUNCTION("""COMPUTED_VALUE"""),"@Vinhlxbentre")</f>
        <v>@Vinhlxbentre</v>
      </c>
    </row>
    <row r="5">
      <c r="A5" s="20">
        <f>IFERROR(__xludf.DUMMYFUNCTION("""COMPUTED_VALUE"""),2.2003E7)</f>
        <v>22003000</v>
      </c>
      <c r="B5" s="21" t="str">
        <f>IFERROR(__xludf.DUMMYFUNCTION("""COMPUTED_VALUE"""),"Bưu Cục KP2-Thị Trấn Ba Tri-Bến Tre")</f>
        <v>Bưu Cục KP2-Thị Trấn Ba Tri-Bến Tre</v>
      </c>
      <c r="C5" s="21" t="str">
        <f>IFERROR(__xludf.DUMMYFUNCTION("""COMPUTED_VALUE"""),"Bến Tre")</f>
        <v>Bến Tre</v>
      </c>
      <c r="D5" s="21" t="str">
        <f>IFERROR(__xludf.DUMMYFUNCTION("""COMPUTED_VALUE"""),"Huỳnh Phương Duy")</f>
        <v>Huỳnh Phương Duy</v>
      </c>
      <c r="E5" s="20">
        <f>IFERROR(__xludf.DUMMYFUNCTION("""COMPUTED_VALUE"""),3147922.0)</f>
        <v>3147922</v>
      </c>
      <c r="F5" s="21" t="str">
        <f>IFERROR(__xludf.DUMMYFUNCTION("""COMPUTED_VALUE"""),"@DUY_AM_BTE")</f>
        <v>@DUY_AM_BTE</v>
      </c>
    </row>
    <row r="6">
      <c r="A6" s="20">
        <f>IFERROR(__xludf.DUMMYFUNCTION("""COMPUTED_VALUE"""),2.2101E7)</f>
        <v>22101000</v>
      </c>
      <c r="B6" s="21" t="str">
        <f>IFERROR(__xludf.DUMMYFUNCTION("""COMPUTED_VALUE"""),"Bưu Cục 3/2 Thị Trấn Châu Thành-Bến Tre")</f>
        <v>Bưu Cục 3/2 Thị Trấn Châu Thành-Bến Tre</v>
      </c>
      <c r="C6" s="21" t="str">
        <f>IFERROR(__xludf.DUMMYFUNCTION("""COMPUTED_VALUE"""),"Bến Tre")</f>
        <v>Bến Tre</v>
      </c>
      <c r="D6" s="21" t="str">
        <f>IFERROR(__xludf.DUMMYFUNCTION("""COMPUTED_VALUE"""),"Lâm Xuân Vinh")</f>
        <v>Lâm Xuân Vinh</v>
      </c>
      <c r="E6" s="20">
        <f>IFERROR(__xludf.DUMMYFUNCTION("""COMPUTED_VALUE"""),200407.0)</f>
        <v>200407</v>
      </c>
      <c r="F6" s="21" t="str">
        <f>IFERROR(__xludf.DUMMYFUNCTION("""COMPUTED_VALUE"""),"@Vinhlxbentre")</f>
        <v>@Vinhlxbentre</v>
      </c>
    </row>
    <row r="7">
      <c r="A7" s="20">
        <f>IFERROR(__xludf.DUMMYFUNCTION("""COMPUTED_VALUE"""),2.1998E7)</f>
        <v>21998000</v>
      </c>
      <c r="B7" s="21" t="str">
        <f>IFERROR(__xludf.DUMMYFUNCTION("""COMPUTED_VALUE"""),"Bưu Cục 86 Tiên Thuỷ-Châu Thành-Bến Tre")</f>
        <v>Bưu Cục 86 Tiên Thuỷ-Châu Thành-Bến Tre</v>
      </c>
      <c r="C7" s="21" t="str">
        <f>IFERROR(__xludf.DUMMYFUNCTION("""COMPUTED_VALUE"""),"Bến Tre")</f>
        <v>Bến Tre</v>
      </c>
      <c r="D7" s="21" t="str">
        <f>IFERROR(__xludf.DUMMYFUNCTION("""COMPUTED_VALUE"""),"Huỳnh Quốc Trung")</f>
        <v>Huỳnh Quốc Trung</v>
      </c>
      <c r="E7" s="20">
        <f>IFERROR(__xludf.DUMMYFUNCTION("""COMPUTED_VALUE"""),3166061.0)</f>
        <v>3166061</v>
      </c>
      <c r="F7" s="21" t="str">
        <f>IFERROR(__xludf.DUMMYFUNCTION("""COMPUTED_VALUE"""),"@HuynhQTrung")</f>
        <v>@HuynhQTrung</v>
      </c>
    </row>
    <row r="8">
      <c r="A8" s="20">
        <f>IFERROR(__xludf.DUMMYFUNCTION("""COMPUTED_VALUE"""),2.1495E7)</f>
        <v>21495000</v>
      </c>
      <c r="B8" s="21" t="str">
        <f>IFERROR(__xludf.DUMMYFUNCTION("""COMPUTED_VALUE"""),"Bưu Cục QL57 KP3-Thị Trấn Chợ Lách-Bến Tre")</f>
        <v>Bưu Cục QL57 KP3-Thị Trấn Chợ Lách-Bến Tre</v>
      </c>
      <c r="C8" s="21" t="str">
        <f>IFERROR(__xludf.DUMMYFUNCTION("""COMPUTED_VALUE"""),"Bến Tre")</f>
        <v>Bến Tre</v>
      </c>
      <c r="D8" s="21" t="str">
        <f>IFERROR(__xludf.DUMMYFUNCTION("""COMPUTED_VALUE"""),"Huỳnh Phương Duy")</f>
        <v>Huỳnh Phương Duy</v>
      </c>
      <c r="E8" s="20">
        <f>IFERROR(__xludf.DUMMYFUNCTION("""COMPUTED_VALUE"""),3147922.0)</f>
        <v>3147922</v>
      </c>
      <c r="F8" s="21" t="str">
        <f>IFERROR(__xludf.DUMMYFUNCTION("""COMPUTED_VALUE"""),"@DUY_AM_BTE")</f>
        <v>@DUY_AM_BTE</v>
      </c>
    </row>
    <row r="9">
      <c r="A9" s="20">
        <f>IFERROR(__xludf.DUMMYFUNCTION("""COMPUTED_VALUE"""),2.1583E7)</f>
        <v>21583000</v>
      </c>
      <c r="B9" s="21" t="str">
        <f>IFERROR(__xludf.DUMMYFUNCTION("""COMPUTED_VALUE"""),"Bưu Cục QL57-Bình Thới-Bình Đại-Bến Tre")</f>
        <v>Bưu Cục QL57-Bình Thới-Bình Đại-Bến Tre</v>
      </c>
      <c r="C9" s="21" t="str">
        <f>IFERROR(__xludf.DUMMYFUNCTION("""COMPUTED_VALUE"""),"Bến Tre")</f>
        <v>Bến Tre</v>
      </c>
      <c r="D9" s="21" t="str">
        <f>IFERROR(__xludf.DUMMYFUNCTION("""COMPUTED_VALUE"""),"Lâm Xuân Vinh")</f>
        <v>Lâm Xuân Vinh</v>
      </c>
      <c r="E9" s="20">
        <f>IFERROR(__xludf.DUMMYFUNCTION("""COMPUTED_VALUE"""),200407.0)</f>
        <v>200407</v>
      </c>
      <c r="F9" s="21" t="str">
        <f>IFERROR(__xludf.DUMMYFUNCTION("""COMPUTED_VALUE"""),"@Vinhlxbentre")</f>
        <v>@Vinhlxbentre</v>
      </c>
    </row>
    <row r="10">
      <c r="A10" s="20">
        <f>IFERROR(__xludf.DUMMYFUNCTION("""COMPUTED_VALUE"""),1934.0)</f>
        <v>1934</v>
      </c>
      <c r="B10" s="21" t="str">
        <f>IFERROR(__xludf.DUMMYFUNCTION("""COMPUTED_VALUE"""),"Bưu Cục Mỏ Cày Nam-Bến Tre")</f>
        <v>Bưu Cục Mỏ Cày Nam-Bến Tre</v>
      </c>
      <c r="C10" s="21" t="str">
        <f>IFERROR(__xludf.DUMMYFUNCTION("""COMPUTED_VALUE"""),"Bến Tre")</f>
        <v>Bến Tre</v>
      </c>
      <c r="D10" s="21" t="str">
        <f>IFERROR(__xludf.DUMMYFUNCTION("""COMPUTED_VALUE"""),"Huỳnh Phương Duy")</f>
        <v>Huỳnh Phương Duy</v>
      </c>
      <c r="E10" s="20">
        <f>IFERROR(__xludf.DUMMYFUNCTION("""COMPUTED_VALUE"""),3147922.0)</f>
        <v>3147922</v>
      </c>
      <c r="F10" s="21" t="str">
        <f>IFERROR(__xludf.DUMMYFUNCTION("""COMPUTED_VALUE"""),"@DUY_AM_BTE")</f>
        <v>@DUY_AM_BTE</v>
      </c>
    </row>
    <row r="11">
      <c r="A11" s="20">
        <f>IFERROR(__xludf.DUMMYFUNCTION("""COMPUTED_VALUE"""),2.1582E7)</f>
        <v>21582000</v>
      </c>
      <c r="B11" s="21" t="str">
        <f>IFERROR(__xludf.DUMMYFUNCTION("""COMPUTED_VALUE"""),"Bưu Cục QL57-Bình Thạnh-Thạnh Phú-Bến Tre")</f>
        <v>Bưu Cục QL57-Bình Thạnh-Thạnh Phú-Bến Tre</v>
      </c>
      <c r="C11" s="21" t="str">
        <f>IFERROR(__xludf.DUMMYFUNCTION("""COMPUTED_VALUE"""),"Bến Tre")</f>
        <v>Bến Tre</v>
      </c>
      <c r="D11" s="21" t="str">
        <f>IFERROR(__xludf.DUMMYFUNCTION("""COMPUTED_VALUE"""),"Huỳnh Phương Duy")</f>
        <v>Huỳnh Phương Duy</v>
      </c>
      <c r="E11" s="20">
        <f>IFERROR(__xludf.DUMMYFUNCTION("""COMPUTED_VALUE"""),3147922.0)</f>
        <v>3147922</v>
      </c>
      <c r="F11" s="21" t="str">
        <f>IFERROR(__xludf.DUMMYFUNCTION("""COMPUTED_VALUE"""),"@DUY_AM_BTE")</f>
        <v>@DUY_AM_BTE</v>
      </c>
    </row>
    <row r="12">
      <c r="A12" s="20">
        <f>IFERROR(__xludf.DUMMYFUNCTION("""COMPUTED_VALUE"""),2.2868E7)</f>
        <v>22868000</v>
      </c>
      <c r="B12" s="21" t="str">
        <f>IFERROR(__xludf.DUMMYFUNCTION("""COMPUTED_VALUE"""),"Bưu Cục Quốc Lộ 57B-Xã Lộc Thuận-Bến Tre")</f>
        <v>Bưu Cục Quốc Lộ 57B-Xã Lộc Thuận-Bến Tre</v>
      </c>
      <c r="C12" s="21" t="str">
        <f>IFERROR(__xludf.DUMMYFUNCTION("""COMPUTED_VALUE"""),"Bến Tre")</f>
        <v>Bến Tre</v>
      </c>
      <c r="D12" s="21" t="str">
        <f>IFERROR(__xludf.DUMMYFUNCTION("""COMPUTED_VALUE"""),"Lâm Xuân Vinh")</f>
        <v>Lâm Xuân Vinh</v>
      </c>
      <c r="E12" s="20">
        <f>IFERROR(__xludf.DUMMYFUNCTION("""COMPUTED_VALUE"""),200407.0)</f>
        <v>200407</v>
      </c>
      <c r="F12" s="21" t="str">
        <f>IFERROR(__xludf.DUMMYFUNCTION("""COMPUTED_VALUE"""),"@Vinhlxbentre")</f>
        <v>@Vinhlxbentre</v>
      </c>
    </row>
    <row r="13">
      <c r="A13" s="20">
        <f>IFERROR(__xludf.DUMMYFUNCTION("""COMPUTED_VALUE"""),2.2876E7)</f>
        <v>22876000</v>
      </c>
      <c r="B13" s="21" t="str">
        <f>IFERROR(__xludf.DUMMYFUNCTION("""COMPUTED_VALUE"""),"Bưu Cục Ấp Phú Long-Xã Hưng Khánh Trung-Bến Tre")</f>
        <v>Bưu Cục Ấp Phú Long-Xã Hưng Khánh Trung-Bến Tre</v>
      </c>
      <c r="C13" s="21" t="str">
        <f>IFERROR(__xludf.DUMMYFUNCTION("""COMPUTED_VALUE"""),"Bến Tre")</f>
        <v>Bến Tre</v>
      </c>
      <c r="D13" s="21" t="str">
        <f>IFERROR(__xludf.DUMMYFUNCTION("""COMPUTED_VALUE"""),"Huỳnh Phương Duy")</f>
        <v>Huỳnh Phương Duy</v>
      </c>
      <c r="E13" s="20">
        <f>IFERROR(__xludf.DUMMYFUNCTION("""COMPUTED_VALUE"""),3147922.0)</f>
        <v>3147922</v>
      </c>
      <c r="F13" s="21" t="str">
        <f>IFERROR(__xludf.DUMMYFUNCTION("""COMPUTED_VALUE"""),"@DUY_AM_BTE")</f>
        <v>@DUY_AM_BTE</v>
      </c>
    </row>
    <row r="14">
      <c r="A14" s="20">
        <f>IFERROR(__xludf.DUMMYFUNCTION("""COMPUTED_VALUE"""),2.2372E7)</f>
        <v>22372000</v>
      </c>
      <c r="B14" s="21" t="str">
        <f>IFERROR(__xludf.DUMMYFUNCTION("""COMPUTED_VALUE"""),"Bưu Cục QL80-Xã Hòa Long-Đồng Tháp")</f>
        <v>Bưu Cục QL80-Xã Hòa Long-Đồng Tháp</v>
      </c>
      <c r="C14" s="21" t="str">
        <f>IFERROR(__xludf.DUMMYFUNCTION("""COMPUTED_VALUE"""),"Đồng Tháp")</f>
        <v>Đồng Tháp</v>
      </c>
      <c r="D14" s="21" t="str">
        <f>IFERROR(__xludf.DUMMYFUNCTION("""COMPUTED_VALUE"""),"Lý Quài Nhân")</f>
        <v>Lý Quài Nhân</v>
      </c>
      <c r="E14" s="20">
        <f>IFERROR(__xludf.DUMMYFUNCTION("""COMPUTED_VALUE"""),3003753.0)</f>
        <v>3003753</v>
      </c>
      <c r="F14" s="21" t="str">
        <f>IFERROR(__xludf.DUMMYFUNCTION("""COMPUTED_VALUE"""),"@lynhantv92")</f>
        <v>@lynhantv92</v>
      </c>
    </row>
    <row r="15">
      <c r="A15" s="20">
        <f>IFERROR(__xludf.DUMMYFUNCTION("""COMPUTED_VALUE"""),2.2461E7)</f>
        <v>22461000</v>
      </c>
      <c r="B15" s="21" t="str">
        <f>IFERROR(__xludf.DUMMYFUNCTION("""COMPUTED_VALUE"""),"Bưu Cục Khóm 3 Trần Hưng Đạo-Xã Tháp Mười-Đồng Tháp")</f>
        <v>Bưu Cục Khóm 3 Trần Hưng Đạo-Xã Tháp Mười-Đồng Tháp</v>
      </c>
      <c r="C15" s="21" t="str">
        <f>IFERROR(__xludf.DUMMYFUNCTION("""COMPUTED_VALUE"""),"Đồng Tháp")</f>
        <v>Đồng Tháp</v>
      </c>
      <c r="D15" s="21" t="str">
        <f>IFERROR(__xludf.DUMMYFUNCTION("""COMPUTED_VALUE"""),"Lê Minh Tuấn")</f>
        <v>Lê Minh Tuấn</v>
      </c>
      <c r="E15" s="20">
        <f>IFERROR(__xludf.DUMMYFUNCTION("""COMPUTED_VALUE"""),1880732.0)</f>
        <v>1880732</v>
      </c>
      <c r="F15" s="21" t="str">
        <f>IFERROR(__xludf.DUMMYFUNCTION("""COMPUTED_VALUE"""),"@MinhTuanLM")</f>
        <v>@MinhTuanLM</v>
      </c>
    </row>
    <row r="16">
      <c r="A16" s="20">
        <f>IFERROR(__xludf.DUMMYFUNCTION("""COMPUTED_VALUE"""),2498.0)</f>
        <v>2498</v>
      </c>
      <c r="B16" s="21" t="str">
        <f>IFERROR(__xludf.DUMMYFUNCTION("""COMPUTED_VALUE"""),"Bưu Cục Tam Nông-Đồng Tháp")</f>
        <v>Bưu Cục Tam Nông-Đồng Tháp</v>
      </c>
      <c r="C16" s="21" t="str">
        <f>IFERROR(__xludf.DUMMYFUNCTION("""COMPUTED_VALUE"""),"Đồng Tháp")</f>
        <v>Đồng Tháp</v>
      </c>
      <c r="D16" s="21" t="str">
        <f>IFERROR(__xludf.DUMMYFUNCTION("""COMPUTED_VALUE"""),"Ngô Phan Mỹ Tú")</f>
        <v>Ngô Phan Mỹ Tú</v>
      </c>
      <c r="E16" s="20">
        <f>IFERROR(__xludf.DUMMYFUNCTION("""COMPUTED_VALUE"""),255924.0)</f>
        <v>255924</v>
      </c>
      <c r="F16" s="21" t="str">
        <f>IFERROR(__xludf.DUMMYFUNCTION("""COMPUTED_VALUE"""),"@MyTuNgoPhan")</f>
        <v>@MyTuNgoPhan</v>
      </c>
    </row>
    <row r="17">
      <c r="A17" s="20">
        <f>IFERROR(__xludf.DUMMYFUNCTION("""COMPUTED_VALUE"""),2.2E7)</f>
        <v>22000000</v>
      </c>
      <c r="B17" s="21" t="str">
        <f>IFERROR(__xludf.DUMMYFUNCTION("""COMPUTED_VALUE"""),"Bưu Cục Tân Nhuận Đông-Châu Thành-Đồng Tháp")</f>
        <v>Bưu Cục Tân Nhuận Đông-Châu Thành-Đồng Tháp</v>
      </c>
      <c r="C17" s="21" t="str">
        <f>IFERROR(__xludf.DUMMYFUNCTION("""COMPUTED_VALUE"""),"Đồng Tháp")</f>
        <v>Đồng Tháp</v>
      </c>
      <c r="D17" s="21" t="str">
        <f>IFERROR(__xludf.DUMMYFUNCTION("""COMPUTED_VALUE"""),"Lý Quài Nhân")</f>
        <v>Lý Quài Nhân</v>
      </c>
      <c r="E17" s="20">
        <f>IFERROR(__xludf.DUMMYFUNCTION("""COMPUTED_VALUE"""),3003753.0)</f>
        <v>3003753</v>
      </c>
      <c r="F17" s="21" t="str">
        <f>IFERROR(__xludf.DUMMYFUNCTION("""COMPUTED_VALUE"""),"@lynhantv92")</f>
        <v>@lynhantv92</v>
      </c>
    </row>
    <row r="18">
      <c r="A18" s="20">
        <f>IFERROR(__xludf.DUMMYFUNCTION("""COMPUTED_VALUE"""),1083.0)</f>
        <v>1083</v>
      </c>
      <c r="B18" s="21" t="str">
        <f>IFERROR(__xludf.DUMMYFUNCTION("""COMPUTED_VALUE"""),"Bưu Cục 12-14 Bà Triệu-Cao Lãnh-Đồng Tháp")</f>
        <v>Bưu Cục 12-14 Bà Triệu-Cao Lãnh-Đồng Tháp</v>
      </c>
      <c r="C18" s="21" t="str">
        <f>IFERROR(__xludf.DUMMYFUNCTION("""COMPUTED_VALUE"""),"Đồng Tháp")</f>
        <v>Đồng Tháp</v>
      </c>
      <c r="D18" s="21" t="str">
        <f>IFERROR(__xludf.DUMMYFUNCTION("""COMPUTED_VALUE"""),"Nguyễn Việt Tới")</f>
        <v>Nguyễn Việt Tới</v>
      </c>
      <c r="E18" s="20">
        <f>IFERROR(__xludf.DUMMYFUNCTION("""COMPUTED_VALUE"""),27547.0)</f>
        <v>27547</v>
      </c>
      <c r="F18" s="21" t="str">
        <f>IFERROR(__xludf.DUMMYFUNCTION("""COMPUTED_VALUE"""),"@OP_MN_CAOLANH_DONGTHAP_TOI")</f>
        <v>@OP_MN_CAOLANH_DONGTHAP_TOI</v>
      </c>
    </row>
    <row r="19">
      <c r="A19" s="20">
        <f>IFERROR(__xludf.DUMMYFUNCTION("""COMPUTED_VALUE"""),2.0861E7)</f>
        <v>20861000</v>
      </c>
      <c r="B19" s="21" t="str">
        <f>IFERROR(__xludf.DUMMYFUNCTION("""COMPUTED_VALUE"""),"Bưu Cục 286 Nguyễn Huệ-Tân Hồng-Đồng Tháp")</f>
        <v>Bưu Cục 286 Nguyễn Huệ-Tân Hồng-Đồng Tháp</v>
      </c>
      <c r="C19" s="21" t="str">
        <f>IFERROR(__xludf.DUMMYFUNCTION("""COMPUTED_VALUE"""),"Đồng Tháp")</f>
        <v>Đồng Tháp</v>
      </c>
      <c r="D19" s="21" t="str">
        <f>IFERROR(__xludf.DUMMYFUNCTION("""COMPUTED_VALUE"""),"Ngô Phan Mỹ Tú")</f>
        <v>Ngô Phan Mỹ Tú</v>
      </c>
      <c r="E19" s="20">
        <f>IFERROR(__xludf.DUMMYFUNCTION("""COMPUTED_VALUE"""),255924.0)</f>
        <v>255924</v>
      </c>
      <c r="F19" s="21" t="str">
        <f>IFERROR(__xludf.DUMMYFUNCTION("""COMPUTED_VALUE"""),"@MyTuNgoPhan")</f>
        <v>@MyTuNgoPhan</v>
      </c>
    </row>
    <row r="20">
      <c r="A20" s="20">
        <f>IFERROR(__xludf.DUMMYFUNCTION("""COMPUTED_VALUE"""),1933.0)</f>
        <v>1933</v>
      </c>
      <c r="B20" s="21" t="str">
        <f>IFERROR(__xludf.DUMMYFUNCTION("""COMPUTED_VALUE"""),"Bưu Cục Hồng Ngự-Đồng Tháp")</f>
        <v>Bưu Cục Hồng Ngự-Đồng Tháp</v>
      </c>
      <c r="C20" s="21" t="str">
        <f>IFERROR(__xludf.DUMMYFUNCTION("""COMPUTED_VALUE"""),"Đồng Tháp")</f>
        <v>Đồng Tháp</v>
      </c>
      <c r="D20" s="21" t="str">
        <f>IFERROR(__xludf.DUMMYFUNCTION("""COMPUTED_VALUE"""),"Ngô Phan Mỹ Tú")</f>
        <v>Ngô Phan Mỹ Tú</v>
      </c>
      <c r="E20" s="20">
        <f>IFERROR(__xludf.DUMMYFUNCTION("""COMPUTED_VALUE"""),255924.0)</f>
        <v>255924</v>
      </c>
      <c r="F20" s="21" t="str">
        <f>IFERROR(__xludf.DUMMYFUNCTION("""COMPUTED_VALUE"""),"@MyTuNgoPhan")</f>
        <v>@MyTuNgoPhan</v>
      </c>
    </row>
    <row r="21">
      <c r="A21" s="20">
        <f>IFERROR(__xludf.DUMMYFUNCTION("""COMPUTED_VALUE"""),2.208E7)</f>
        <v>22080000</v>
      </c>
      <c r="B21" s="21" t="str">
        <f>IFERROR(__xludf.DUMMYFUNCTION("""COMPUTED_VALUE"""),"Bưu Cục Mỹ Thọ-Trần Quang Khải-Cao Lãnh-Đồng Tháp")</f>
        <v>Bưu Cục Mỹ Thọ-Trần Quang Khải-Cao Lãnh-Đồng Tháp</v>
      </c>
      <c r="C21" s="21" t="str">
        <f>IFERROR(__xludf.DUMMYFUNCTION("""COMPUTED_VALUE"""),"Đồng Tháp")</f>
        <v>Đồng Tháp</v>
      </c>
      <c r="D21" s="21" t="str">
        <f>IFERROR(__xludf.DUMMYFUNCTION("""COMPUTED_VALUE"""),"Nguyễn Việt Tới")</f>
        <v>Nguyễn Việt Tới</v>
      </c>
      <c r="E21" s="20">
        <f>IFERROR(__xludf.DUMMYFUNCTION("""COMPUTED_VALUE"""),27547.0)</f>
        <v>27547</v>
      </c>
      <c r="F21" s="21" t="str">
        <f>IFERROR(__xludf.DUMMYFUNCTION("""COMPUTED_VALUE"""),"@OP_MN_CAOLANH_DONGTHAP_TOI")</f>
        <v>@OP_MN_CAOLANH_DONGTHAP_TOI</v>
      </c>
    </row>
    <row r="22">
      <c r="A22" s="20">
        <f>IFERROR(__xludf.DUMMYFUNCTION("""COMPUTED_VALUE"""),2.0139E7)</f>
        <v>20139000</v>
      </c>
      <c r="B22" s="21" t="str">
        <f>IFERROR(__xludf.DUMMYFUNCTION("""COMPUTED_VALUE"""),"Bưu Cục QL 30-Thanh Bình-Đồng Tháp")</f>
        <v>Bưu Cục QL 30-Thanh Bình-Đồng Tháp</v>
      </c>
      <c r="C22" s="21" t="str">
        <f>IFERROR(__xludf.DUMMYFUNCTION("""COMPUTED_VALUE"""),"Đồng Tháp")</f>
        <v>Đồng Tháp</v>
      </c>
      <c r="D22" s="21" t="str">
        <f>IFERROR(__xludf.DUMMYFUNCTION("""COMPUTED_VALUE"""),"Ngô Phan Mỹ Tú")</f>
        <v>Ngô Phan Mỹ Tú</v>
      </c>
      <c r="E22" s="20">
        <f>IFERROR(__xludf.DUMMYFUNCTION("""COMPUTED_VALUE"""),255924.0)</f>
        <v>255924</v>
      </c>
      <c r="F22" s="21" t="str">
        <f>IFERROR(__xludf.DUMMYFUNCTION("""COMPUTED_VALUE"""),"@MyTuNgoPhan")</f>
        <v>@MyTuNgoPhan</v>
      </c>
    </row>
    <row r="23">
      <c r="A23" s="20">
        <f>IFERROR(__xludf.DUMMYFUNCTION("""COMPUTED_VALUE"""),1199.0)</f>
        <v>1199</v>
      </c>
      <c r="B23" s="21" t="str">
        <f>IFERROR(__xludf.DUMMYFUNCTION("""COMPUTED_VALUE"""),"Bưu Cục 206 A Đoàn Thị Nghiệp-Mỹ Tho-Tiền Giang 01")</f>
        <v>Bưu Cục 206 A Đoàn Thị Nghiệp-Mỹ Tho-Tiền Giang 01</v>
      </c>
      <c r="C23" s="21" t="str">
        <f>IFERROR(__xludf.DUMMYFUNCTION("""COMPUTED_VALUE"""),"Tiền Giang")</f>
        <v>Tiền Giang</v>
      </c>
      <c r="D23" s="21" t="str">
        <f>IFERROR(__xludf.DUMMYFUNCTION("""COMPUTED_VALUE"""),"Đoàn Công Tín")</f>
        <v>Đoàn Công Tín</v>
      </c>
      <c r="E23" s="20">
        <f>IFERROR(__xludf.DUMMYFUNCTION("""COMPUTED_VALUE"""),3115359.0)</f>
        <v>3115359</v>
      </c>
      <c r="F23" s="21" t="str">
        <f>IFERROR(__xludf.DUMMYFUNCTION("""COMPUTED_VALUE"""),"@congtind")</f>
        <v>@congtind</v>
      </c>
    </row>
    <row r="24">
      <c r="A24" s="20">
        <f>IFERROR(__xludf.DUMMYFUNCTION("""COMPUTED_VALUE"""),2.2316E7)</f>
        <v>22316000</v>
      </c>
      <c r="B24" s="21" t="str">
        <f>IFERROR(__xludf.DUMMYFUNCTION("""COMPUTED_VALUE"""),"Bưu Cục 230 Ấp Bình Hạnh-Long Bình Điền-Chợ Gạo-Tiền Giang")</f>
        <v>Bưu Cục 230 Ấp Bình Hạnh-Long Bình Điền-Chợ Gạo-Tiền Giang</v>
      </c>
      <c r="C24" s="21" t="str">
        <f>IFERROR(__xludf.DUMMYFUNCTION("""COMPUTED_VALUE"""),"Tiền Giang")</f>
        <v>Tiền Giang</v>
      </c>
      <c r="D24" s="21" t="str">
        <f>IFERROR(__xludf.DUMMYFUNCTION("""COMPUTED_VALUE"""),"Đoàn Công Tín")</f>
        <v>Đoàn Công Tín</v>
      </c>
      <c r="E24" s="20">
        <f>IFERROR(__xludf.DUMMYFUNCTION("""COMPUTED_VALUE"""),3115359.0)</f>
        <v>3115359</v>
      </c>
      <c r="F24" s="21" t="str">
        <f>IFERROR(__xludf.DUMMYFUNCTION("""COMPUTED_VALUE"""),"@congtind")</f>
        <v>@congtind</v>
      </c>
    </row>
    <row r="25">
      <c r="A25" s="20">
        <f>IFERROR(__xludf.DUMMYFUNCTION("""COMPUTED_VALUE"""),2.1991E7)</f>
        <v>21991000</v>
      </c>
      <c r="B25" s="21" t="str">
        <f>IFERROR(__xludf.DUMMYFUNCTION("""COMPUTED_VALUE"""),"Bưu Cục 88 Ấp Thân Hòa-Thân Cửu Nghĩa-Châu Thành-Tiền Giang")</f>
        <v>Bưu Cục 88 Ấp Thân Hòa-Thân Cửu Nghĩa-Châu Thành-Tiền Giang</v>
      </c>
      <c r="C25" s="21" t="str">
        <f>IFERROR(__xludf.DUMMYFUNCTION("""COMPUTED_VALUE"""),"Tiền Giang")</f>
        <v>Tiền Giang</v>
      </c>
      <c r="D25" s="21" t="str">
        <f>IFERROR(__xludf.DUMMYFUNCTION("""COMPUTED_VALUE"""),"Nguyễn Anh Tùng")</f>
        <v>Nguyễn Anh Tùng</v>
      </c>
      <c r="E25" s="20">
        <f>IFERROR(__xludf.DUMMYFUNCTION("""COMPUTED_VALUE"""),3155955.0)</f>
        <v>3155955</v>
      </c>
      <c r="F25" s="21" t="str">
        <f>IFERROR(__xludf.DUMMYFUNCTION("""COMPUTED_VALUE"""),"@jimmytho91")</f>
        <v>@jimmytho91</v>
      </c>
    </row>
    <row r="26">
      <c r="A26" s="20">
        <f>IFERROR(__xludf.DUMMYFUNCTION("""COMPUTED_VALUE"""),2.1559E7)</f>
        <v>21559000</v>
      </c>
      <c r="B26" s="21" t="str">
        <f>IFERROR(__xludf.DUMMYFUNCTION("""COMPUTED_VALUE"""),"Bưu Cục 888 QL1A-Phường 2-Cai Lậy-Tiền Giang")</f>
        <v>Bưu Cục 888 QL1A-Phường 2-Cai Lậy-Tiền Giang</v>
      </c>
      <c r="C26" s="21" t="str">
        <f>IFERROR(__xludf.DUMMYFUNCTION("""COMPUTED_VALUE"""),"Tiền Giang")</f>
        <v>Tiền Giang</v>
      </c>
      <c r="D26" s="21" t="str">
        <f>IFERROR(__xludf.DUMMYFUNCTION("""COMPUTED_VALUE"""),"Đoàn Công Tín")</f>
        <v>Đoàn Công Tín</v>
      </c>
      <c r="E26" s="20">
        <f>IFERROR(__xludf.DUMMYFUNCTION("""COMPUTED_VALUE"""),3115359.0)</f>
        <v>3115359</v>
      </c>
      <c r="F26" s="21" t="str">
        <f>IFERROR(__xludf.DUMMYFUNCTION("""COMPUTED_VALUE"""),"@congtind")</f>
        <v>@congtind</v>
      </c>
    </row>
    <row r="27">
      <c r="A27" s="20">
        <f>IFERROR(__xludf.DUMMYFUNCTION("""COMPUTED_VALUE"""),2.1528E7)</f>
        <v>21528000</v>
      </c>
      <c r="B27" s="21" t="str">
        <f>IFERROR(__xludf.DUMMYFUNCTION("""COMPUTED_VALUE"""),"Bưu Cục 992 Đường Huyện 35-Vĩnh Kim-Châu Thành-Tiền Giang")</f>
        <v>Bưu Cục 992 Đường Huyện 35-Vĩnh Kim-Châu Thành-Tiền Giang</v>
      </c>
      <c r="C27" s="21" t="str">
        <f>IFERROR(__xludf.DUMMYFUNCTION("""COMPUTED_VALUE"""),"Tiền Giang")</f>
        <v>Tiền Giang</v>
      </c>
      <c r="D27" s="21" t="str">
        <f>IFERROR(__xludf.DUMMYFUNCTION("""COMPUTED_VALUE"""),"Nguyễn Anh Tùng")</f>
        <v>Nguyễn Anh Tùng</v>
      </c>
      <c r="E27" s="20">
        <f>IFERROR(__xludf.DUMMYFUNCTION("""COMPUTED_VALUE"""),3155955.0)</f>
        <v>3155955</v>
      </c>
      <c r="F27" s="21" t="str">
        <f>IFERROR(__xludf.DUMMYFUNCTION("""COMPUTED_VALUE"""),"@jimmytho91")</f>
        <v>@jimmytho91</v>
      </c>
    </row>
    <row r="28">
      <c r="A28" s="20">
        <f>IFERROR(__xludf.DUMMYFUNCTION("""COMPUTED_VALUE"""),2.0776E7)</f>
        <v>20776000</v>
      </c>
      <c r="B28" s="21" t="str">
        <f>IFERROR(__xludf.DUMMYFUNCTION("""COMPUTED_VALUE"""),"Bưu Cục Ấp Hậu Mỹ Phú 1-Cái Bè-Tiền Giang")</f>
        <v>Bưu Cục Ấp Hậu Mỹ Phú 1-Cái Bè-Tiền Giang</v>
      </c>
      <c r="C28" s="21" t="str">
        <f>IFERROR(__xludf.DUMMYFUNCTION("""COMPUTED_VALUE"""),"Tiền Giang")</f>
        <v>Tiền Giang</v>
      </c>
      <c r="D28" s="21" t="str">
        <f>IFERROR(__xludf.DUMMYFUNCTION("""COMPUTED_VALUE"""),"Lê Minh Tuấn")</f>
        <v>Lê Minh Tuấn</v>
      </c>
      <c r="E28" s="20">
        <f>IFERROR(__xludf.DUMMYFUNCTION("""COMPUTED_VALUE"""),1880732.0)</f>
        <v>1880732</v>
      </c>
      <c r="F28" s="21" t="str">
        <f>IFERROR(__xludf.DUMMYFUNCTION("""COMPUTED_VALUE"""),"@MinhTuanLM")</f>
        <v>@MinhTuanLM</v>
      </c>
    </row>
    <row r="29">
      <c r="A29" s="20">
        <f>IFERROR(__xludf.DUMMYFUNCTION("""COMPUTED_VALUE"""),2.0227E7)</f>
        <v>20227000</v>
      </c>
      <c r="B29" s="21" t="str">
        <f>IFERROR(__xludf.DUMMYFUNCTION("""COMPUTED_VALUE"""),"Bưu Cục Khu phố 1-Tân Phước-Tiền Giang")</f>
        <v>Bưu Cục Khu phố 1-Tân Phước-Tiền Giang</v>
      </c>
      <c r="C29" s="21" t="str">
        <f>IFERROR(__xludf.DUMMYFUNCTION("""COMPUTED_VALUE"""),"Tiền Giang")</f>
        <v>Tiền Giang</v>
      </c>
      <c r="D29" s="21" t="str">
        <f>IFERROR(__xludf.DUMMYFUNCTION("""COMPUTED_VALUE"""),"Nguyễn Anh Tùng")</f>
        <v>Nguyễn Anh Tùng</v>
      </c>
      <c r="E29" s="20">
        <f>IFERROR(__xludf.DUMMYFUNCTION("""COMPUTED_VALUE"""),3155955.0)</f>
        <v>3155955</v>
      </c>
      <c r="F29" s="21" t="str">
        <f>IFERROR(__xludf.DUMMYFUNCTION("""COMPUTED_VALUE"""),"@jimmytho91")</f>
        <v>@jimmytho91</v>
      </c>
    </row>
    <row r="30">
      <c r="A30" s="20">
        <f>IFERROR(__xludf.DUMMYFUNCTION("""COMPUTED_VALUE"""),2.227E7)</f>
        <v>22270000</v>
      </c>
      <c r="B30" s="21" t="str">
        <f>IFERROR(__xludf.DUMMYFUNCTION("""COMPUTED_VALUE"""),"Bưu Cục Kp3 Phường 3-Gò Công-Tiền Giang")</f>
        <v>Bưu Cục Kp3 Phường 3-Gò Công-Tiền Giang</v>
      </c>
      <c r="C30" s="21" t="str">
        <f>IFERROR(__xludf.DUMMYFUNCTION("""COMPUTED_VALUE"""),"Tiền Giang")</f>
        <v>Tiền Giang</v>
      </c>
      <c r="D30" s="21" t="str">
        <f>IFERROR(__xludf.DUMMYFUNCTION("""COMPUTED_VALUE"""),"Nguyễn Anh Tùng")</f>
        <v>Nguyễn Anh Tùng</v>
      </c>
      <c r="E30" s="20">
        <f>IFERROR(__xludf.DUMMYFUNCTION("""COMPUTED_VALUE"""),3155955.0)</f>
        <v>3155955</v>
      </c>
      <c r="F30" s="21" t="str">
        <f>IFERROR(__xludf.DUMMYFUNCTION("""COMPUTED_VALUE"""),"@jimmytho91")</f>
        <v>@jimmytho91</v>
      </c>
    </row>
    <row r="31">
      <c r="A31" s="20">
        <f>IFERROR(__xludf.DUMMYFUNCTION("""COMPUTED_VALUE"""),2.1313E7)</f>
        <v>21313000</v>
      </c>
      <c r="B31" s="21" t="str">
        <f>IFERROR(__xludf.DUMMYFUNCTION("""COMPUTED_VALUE"""),"Bưu Cục Long Trung-Cai Lậy-Tiền Giang")</f>
        <v>Bưu Cục Long Trung-Cai Lậy-Tiền Giang</v>
      </c>
      <c r="C31" s="21" t="str">
        <f>IFERROR(__xludf.DUMMYFUNCTION("""COMPUTED_VALUE"""),"Tiền Giang")</f>
        <v>Tiền Giang</v>
      </c>
      <c r="D31" s="21" t="str">
        <f>IFERROR(__xludf.DUMMYFUNCTION("""COMPUTED_VALUE"""),"Lê Minh Tuấn")</f>
        <v>Lê Minh Tuấn</v>
      </c>
      <c r="E31" s="20">
        <f>IFERROR(__xludf.DUMMYFUNCTION("""COMPUTED_VALUE"""),1880732.0)</f>
        <v>1880732</v>
      </c>
      <c r="F31" s="21" t="str">
        <f>IFERROR(__xludf.DUMMYFUNCTION("""COMPUTED_VALUE"""),"@MinhTuanLM")</f>
        <v>@MinhTuanLM</v>
      </c>
    </row>
    <row r="32">
      <c r="A32" s="20">
        <f>IFERROR(__xludf.DUMMYFUNCTION("""COMPUTED_VALUE"""),2.0798E7)</f>
        <v>20798000</v>
      </c>
      <c r="B32" s="21" t="str">
        <f>IFERROR(__xludf.DUMMYFUNCTION("""COMPUTED_VALUE"""),"Bưu Cục QL1A Hòa Khánh-Cái Bè-Tiền Giang")</f>
        <v>Bưu Cục QL1A Hòa Khánh-Cái Bè-Tiền Giang</v>
      </c>
      <c r="C32" s="21" t="str">
        <f>IFERROR(__xludf.DUMMYFUNCTION("""COMPUTED_VALUE"""),"Tiền Giang")</f>
        <v>Tiền Giang</v>
      </c>
      <c r="D32" s="21" t="str">
        <f>IFERROR(__xludf.DUMMYFUNCTION("""COMPUTED_VALUE"""),"Lê Minh Tuấn")</f>
        <v>Lê Minh Tuấn</v>
      </c>
      <c r="E32" s="20">
        <f>IFERROR(__xludf.DUMMYFUNCTION("""COMPUTED_VALUE"""),1880732.0)</f>
        <v>1880732</v>
      </c>
      <c r="F32" s="21" t="str">
        <f>IFERROR(__xludf.DUMMYFUNCTION("""COMPUTED_VALUE"""),"@MinhTuanLM")</f>
        <v>@MinhTuanLM</v>
      </c>
    </row>
    <row r="33">
      <c r="A33" s="20">
        <f>IFERROR(__xludf.DUMMYFUNCTION("""COMPUTED_VALUE"""),2.0795E7)</f>
        <v>20795000</v>
      </c>
      <c r="B33" s="21" t="str">
        <f>IFERROR(__xludf.DUMMYFUNCTION("""COMPUTED_VALUE"""),"Bưu Cục QL50 Phường 9-Mỹ Tho-Tiền Giang")</f>
        <v>Bưu Cục QL50 Phường 9-Mỹ Tho-Tiền Giang</v>
      </c>
      <c r="C33" s="21" t="str">
        <f>IFERROR(__xludf.DUMMYFUNCTION("""COMPUTED_VALUE"""),"Tiền Giang")</f>
        <v>Tiền Giang</v>
      </c>
      <c r="D33" s="21" t="str">
        <f>IFERROR(__xludf.DUMMYFUNCTION("""COMPUTED_VALUE"""),"Nguyễn Anh Tùng")</f>
        <v>Nguyễn Anh Tùng</v>
      </c>
      <c r="E33" s="20">
        <f>IFERROR(__xludf.DUMMYFUNCTION("""COMPUTED_VALUE"""),3155955.0)</f>
        <v>3155955</v>
      </c>
      <c r="F33" s="21" t="str">
        <f>IFERROR(__xludf.DUMMYFUNCTION("""COMPUTED_VALUE"""),"@jimmytho91")</f>
        <v>@jimmytho91</v>
      </c>
    </row>
    <row r="34">
      <c r="A34" s="20">
        <f>IFERROR(__xludf.DUMMYFUNCTION("""COMPUTED_VALUE"""),2.0349E7)</f>
        <v>20349000</v>
      </c>
      <c r="B34" s="21" t="str">
        <f>IFERROR(__xludf.DUMMYFUNCTION("""COMPUTED_VALUE"""),"Bưu Cục Quốc Lộ 50-Gò Công Tây-Tiền Giang")</f>
        <v>Bưu Cục Quốc Lộ 50-Gò Công Tây-Tiền Giang</v>
      </c>
      <c r="C34" s="21" t="str">
        <f>IFERROR(__xludf.DUMMYFUNCTION("""COMPUTED_VALUE"""),"Tiền Giang")</f>
        <v>Tiền Giang</v>
      </c>
      <c r="D34" s="21" t="str">
        <f>IFERROR(__xludf.DUMMYFUNCTION("""COMPUTED_VALUE"""),"Đoàn Công Tín")</f>
        <v>Đoàn Công Tín</v>
      </c>
      <c r="E34" s="20">
        <f>IFERROR(__xludf.DUMMYFUNCTION("""COMPUTED_VALUE"""),3115359.0)</f>
        <v>3115359</v>
      </c>
      <c r="F34" s="21" t="str">
        <f>IFERROR(__xludf.DUMMYFUNCTION("""COMPUTED_VALUE"""),"@congtind")</f>
        <v>@congtind</v>
      </c>
    </row>
    <row r="35">
      <c r="A35" s="20">
        <f>IFERROR(__xludf.DUMMYFUNCTION("""COMPUTED_VALUE"""),2.1992E7)</f>
        <v>21992000</v>
      </c>
      <c r="B35" s="21" t="str">
        <f>IFERROR(__xludf.DUMMYFUNCTION("""COMPUTED_VALUE"""),"Bưu Cục Tỉnh Lộ 868-Phú Cường-Cai Lậy-Tiền Giang")</f>
        <v>Bưu Cục Tỉnh Lộ 868-Phú Cường-Cai Lậy-Tiền Giang</v>
      </c>
      <c r="C35" s="21" t="str">
        <f>IFERROR(__xludf.DUMMYFUNCTION("""COMPUTED_VALUE"""),"Tiền Giang")</f>
        <v>Tiền Giang</v>
      </c>
      <c r="D35" s="21" t="str">
        <f>IFERROR(__xludf.DUMMYFUNCTION("""COMPUTED_VALUE"""),"Đoàn Công Tín")</f>
        <v>Đoàn Công Tín</v>
      </c>
      <c r="E35" s="20">
        <f>IFERROR(__xludf.DUMMYFUNCTION("""COMPUTED_VALUE"""),3115359.0)</f>
        <v>3115359</v>
      </c>
      <c r="F35" s="21" t="str">
        <f>IFERROR(__xludf.DUMMYFUNCTION("""COMPUTED_VALUE"""),"@congtind")</f>
        <v>@congtind</v>
      </c>
    </row>
    <row r="36">
      <c r="A36" s="20">
        <f>IFERROR(__xludf.DUMMYFUNCTION("""COMPUTED_VALUE"""),2410.0)</f>
        <v>2410</v>
      </c>
      <c r="B36" s="21" t="str">
        <f>IFERROR(__xludf.DUMMYFUNCTION("""COMPUTED_VALUE"""),"Bưu Cục Duyên Hải-Trà Vinh")</f>
        <v>Bưu Cục Duyên Hải-Trà Vinh</v>
      </c>
      <c r="C36" s="21" t="str">
        <f>IFERROR(__xludf.DUMMYFUNCTION("""COMPUTED_VALUE"""),"Trà Vinh")</f>
        <v>Trà Vinh</v>
      </c>
      <c r="D36" s="21" t="str">
        <f>IFERROR(__xludf.DUMMYFUNCTION("""COMPUTED_VALUE"""),"Lâm Xuân Vinh")</f>
        <v>Lâm Xuân Vinh</v>
      </c>
      <c r="E36" s="20">
        <f>IFERROR(__xludf.DUMMYFUNCTION("""COMPUTED_VALUE"""),200407.0)</f>
        <v>200407</v>
      </c>
      <c r="F36" s="21" t="str">
        <f>IFERROR(__xludf.DUMMYFUNCTION("""COMPUTED_VALUE"""),"@Vinhlxbentre")</f>
        <v>@Vinhlxbentre</v>
      </c>
    </row>
    <row r="37">
      <c r="A37" s="20">
        <f>IFERROR(__xludf.DUMMYFUNCTION("""COMPUTED_VALUE"""),2.1563E7)</f>
        <v>21563000</v>
      </c>
      <c r="B37" s="21" t="str">
        <f>IFERROR(__xludf.DUMMYFUNCTION("""COMPUTED_VALUE"""),"Bưu Cục Ấp Cây Hẹ-Phú Cần-Tiểu Cần-Trà Vinh")</f>
        <v>Bưu Cục Ấp Cây Hẹ-Phú Cần-Tiểu Cần-Trà Vinh</v>
      </c>
      <c r="C37" s="21" t="str">
        <f>IFERROR(__xludf.DUMMYFUNCTION("""COMPUTED_VALUE"""),"Trà Vinh")</f>
        <v>Trà Vinh</v>
      </c>
      <c r="D37" s="21" t="str">
        <f>IFERROR(__xludf.DUMMYFUNCTION("""COMPUTED_VALUE"""),"Nguyễn Thành Huy")</f>
        <v>Nguyễn Thành Huy</v>
      </c>
      <c r="E37" s="20">
        <f>IFERROR(__xludf.DUMMYFUNCTION("""COMPUTED_VALUE"""),2047719.0)</f>
        <v>2047719</v>
      </c>
      <c r="F37" s="21" t="str">
        <f>IFERROR(__xludf.DUMMYFUNCTION("""COMPUTED_VALUE"""),"@nguyenthanhhuytv")</f>
        <v>@nguyenthanhhuytv</v>
      </c>
    </row>
    <row r="38">
      <c r="A38" s="20">
        <f>IFERROR(__xludf.DUMMYFUNCTION("""COMPUTED_VALUE"""),2.2521E7)</f>
        <v>22521000</v>
      </c>
      <c r="B38" s="21" t="str">
        <f>IFERROR(__xludf.DUMMYFUNCTION("""COMPUTED_VALUE"""),"Bưu Cục Khóm 4 TT Châu Thành-Xã Châu Thành-Trà Vinh")</f>
        <v>Bưu Cục Khóm 4 TT Châu Thành-Xã Châu Thành-Trà Vinh</v>
      </c>
      <c r="C38" s="21" t="str">
        <f>IFERROR(__xludf.DUMMYFUNCTION("""COMPUTED_VALUE"""),"Trà Vinh")</f>
        <v>Trà Vinh</v>
      </c>
      <c r="D38" s="21" t="str">
        <f>IFERROR(__xludf.DUMMYFUNCTION("""COMPUTED_VALUE"""),"Nguyễn Thành Huy")</f>
        <v>Nguyễn Thành Huy</v>
      </c>
      <c r="E38" s="20">
        <f>IFERROR(__xludf.DUMMYFUNCTION("""COMPUTED_VALUE"""),2047719.0)</f>
        <v>2047719</v>
      </c>
      <c r="F38" s="21" t="str">
        <f>IFERROR(__xludf.DUMMYFUNCTION("""COMPUTED_VALUE"""),"@nguyenthanhhuytv")</f>
        <v>@nguyenthanhhuytv</v>
      </c>
    </row>
    <row r="39">
      <c r="A39" s="20">
        <f>IFERROR(__xludf.DUMMYFUNCTION("""COMPUTED_VALUE"""),2.0748E7)</f>
        <v>20748000</v>
      </c>
      <c r="B39" s="21" t="str">
        <f>IFERROR(__xludf.DUMMYFUNCTION("""COMPUTED_VALUE"""),"Bưu Cục Khóm 8-Cầu Kè-Trà Vinh")</f>
        <v>Bưu Cục Khóm 8-Cầu Kè-Trà Vinh</v>
      </c>
      <c r="C39" s="21" t="str">
        <f>IFERROR(__xludf.DUMMYFUNCTION("""COMPUTED_VALUE"""),"Trà Vinh")</f>
        <v>Trà Vinh</v>
      </c>
      <c r="D39" s="21" t="str">
        <f>IFERROR(__xludf.DUMMYFUNCTION("""COMPUTED_VALUE"""),"Nguyễn Thành Huy")</f>
        <v>Nguyễn Thành Huy</v>
      </c>
      <c r="E39" s="20">
        <f>IFERROR(__xludf.DUMMYFUNCTION("""COMPUTED_VALUE"""),2047719.0)</f>
        <v>2047719</v>
      </c>
      <c r="F39" s="21" t="str">
        <f>IFERROR(__xludf.DUMMYFUNCTION("""COMPUTED_VALUE"""),"@nguyenthanhhuytv")</f>
        <v>@nguyenthanhhuytv</v>
      </c>
    </row>
    <row r="40">
      <c r="A40" s="20">
        <f>IFERROR(__xludf.DUMMYFUNCTION("""COMPUTED_VALUE"""),2.162E7)</f>
        <v>21620000</v>
      </c>
      <c r="B40" s="21" t="str">
        <f>IFERROR(__xludf.DUMMYFUNCTION("""COMPUTED_VALUE"""),"Bưu Cục Sơn Thông-Phường 9-Tp.Trà Vinh-Trà Vinh")</f>
        <v>Bưu Cục Sơn Thông-Phường 9-Tp.Trà Vinh-Trà Vinh</v>
      </c>
      <c r="C40" s="21" t="str">
        <f>IFERROR(__xludf.DUMMYFUNCTION("""COMPUTED_VALUE"""),"Trà Vinh")</f>
        <v>Trà Vinh</v>
      </c>
      <c r="D40" s="21" t="str">
        <f>IFERROR(__xludf.DUMMYFUNCTION("""COMPUTED_VALUE"""),"Nguyễn Thành Huy")</f>
        <v>Nguyễn Thành Huy</v>
      </c>
      <c r="E40" s="20">
        <f>IFERROR(__xludf.DUMMYFUNCTION("""COMPUTED_VALUE"""),2047719.0)</f>
        <v>2047719</v>
      </c>
      <c r="F40" s="21" t="str">
        <f>IFERROR(__xludf.DUMMYFUNCTION("""COMPUTED_VALUE"""),"@nguyenthanhhuytv")</f>
        <v>@nguyenthanhhuytv</v>
      </c>
    </row>
    <row r="41">
      <c r="A41" s="20">
        <f>IFERROR(__xludf.DUMMYFUNCTION("""COMPUTED_VALUE"""),2.1497E7)</f>
        <v>21497000</v>
      </c>
      <c r="B41" s="21" t="str">
        <f>IFERROR(__xludf.DUMMYFUNCTION("""COMPUTED_VALUE"""),"Bưu Cục Xoài Xiêm-Ngãi Xuyên-Trà Cú-Trà Vinh")</f>
        <v>Bưu Cục Xoài Xiêm-Ngãi Xuyên-Trà Cú-Trà Vinh</v>
      </c>
      <c r="C41" s="21" t="str">
        <f>IFERROR(__xludf.DUMMYFUNCTION("""COMPUTED_VALUE"""),"Trà Vinh")</f>
        <v>Trà Vinh</v>
      </c>
      <c r="D41" s="21" t="str">
        <f>IFERROR(__xludf.DUMMYFUNCTION("""COMPUTED_VALUE"""),"Nguyễn Thành Huy")</f>
        <v>Nguyễn Thành Huy</v>
      </c>
      <c r="E41" s="20">
        <f>IFERROR(__xludf.DUMMYFUNCTION("""COMPUTED_VALUE"""),2047719.0)</f>
        <v>2047719</v>
      </c>
      <c r="F41" s="21" t="str">
        <f>IFERROR(__xludf.DUMMYFUNCTION("""COMPUTED_VALUE"""),"@nguyenthanhhuytv")</f>
        <v>@nguyenthanhhuytv</v>
      </c>
    </row>
    <row r="42">
      <c r="A42" s="20">
        <f>IFERROR(__xludf.DUMMYFUNCTION("""COMPUTED_VALUE"""),2.2479E7)</f>
        <v>22479000</v>
      </c>
      <c r="B42" s="21" t="str">
        <f>IFERROR(__xludf.DUMMYFUNCTION("""COMPUTED_VALUE"""),"Bưu Cục Khóm Thống Nhất-Xã Cầu Ngang-Trà Vinh")</f>
        <v>Bưu Cục Khóm Thống Nhất-Xã Cầu Ngang-Trà Vinh</v>
      </c>
      <c r="C42" s="21" t="str">
        <f>IFERROR(__xludf.DUMMYFUNCTION("""COMPUTED_VALUE"""),"Trà Vinh")</f>
        <v>Trà Vinh</v>
      </c>
      <c r="D42" s="21" t="str">
        <f>IFERROR(__xludf.DUMMYFUNCTION("""COMPUTED_VALUE"""),"Nguyễn Thành Huy")</f>
        <v>Nguyễn Thành Huy</v>
      </c>
      <c r="E42" s="20">
        <f>IFERROR(__xludf.DUMMYFUNCTION("""COMPUTED_VALUE"""),2047719.0)</f>
        <v>2047719</v>
      </c>
      <c r="F42" s="21" t="str">
        <f>IFERROR(__xludf.DUMMYFUNCTION("""COMPUTED_VALUE"""),"@nguyenthanhhuytv")</f>
        <v>@nguyenthanhhuytv</v>
      </c>
    </row>
    <row r="43">
      <c r="A43" s="20">
        <f>IFERROR(__xludf.DUMMYFUNCTION("""COMPUTED_VALUE"""),2.2522E7)</f>
        <v>22522000</v>
      </c>
      <c r="B43" s="21" t="str">
        <f>IFERROR(__xludf.DUMMYFUNCTION("""COMPUTED_VALUE"""),"Bưu Cục Khóm 3 TT Càng Long-Xã Càng Long-Trà Vinh")</f>
        <v>Bưu Cục Khóm 3 TT Càng Long-Xã Càng Long-Trà Vinh</v>
      </c>
      <c r="C43" s="21" t="str">
        <f>IFERROR(__xludf.DUMMYFUNCTION("""COMPUTED_VALUE"""),"Trà Vinh")</f>
        <v>Trà Vinh</v>
      </c>
      <c r="D43" s="21" t="str">
        <f>IFERROR(__xludf.DUMMYFUNCTION("""COMPUTED_VALUE"""),"Nguyễn Thành Huy")</f>
        <v>Nguyễn Thành Huy</v>
      </c>
      <c r="E43" s="20">
        <f>IFERROR(__xludf.DUMMYFUNCTION("""COMPUTED_VALUE"""),2047719.0)</f>
        <v>2047719</v>
      </c>
      <c r="F43" s="21" t="str">
        <f>IFERROR(__xludf.DUMMYFUNCTION("""COMPUTED_VALUE"""),"@nguyenthanhhuytv")</f>
        <v>@nguyenthanhhuytv</v>
      </c>
    </row>
    <row r="44">
      <c r="A44" s="20">
        <f>IFERROR(__xludf.DUMMYFUNCTION("""COMPUTED_VALUE"""),2.088E7)</f>
        <v>20880000</v>
      </c>
      <c r="B44" s="21" t="str">
        <f>IFERROR(__xludf.DUMMYFUNCTION("""COMPUTED_VALUE"""),"Bưu Cục 07 Lê Lợi-Mang Thít-Vĩnh Long")</f>
        <v>Bưu Cục 07 Lê Lợi-Mang Thít-Vĩnh Long</v>
      </c>
      <c r="C44" s="21" t="str">
        <f>IFERROR(__xludf.DUMMYFUNCTION("""COMPUTED_VALUE"""),"Vĩnh Long")</f>
        <v>Vĩnh Long</v>
      </c>
      <c r="D44" s="21" t="str">
        <f>IFERROR(__xludf.DUMMYFUNCTION("""COMPUTED_VALUE"""),"Nguyễn Tuấn Anh")</f>
        <v>Nguyễn Tuấn Anh</v>
      </c>
      <c r="E44" s="20">
        <f>IFERROR(__xludf.DUMMYFUNCTION("""COMPUTED_VALUE"""),3162597.0)</f>
        <v>3162597</v>
      </c>
      <c r="F44" s="21" t="str">
        <f>IFERROR(__xludf.DUMMYFUNCTION("""COMPUTED_VALUE"""),"@Tuananh_kr")</f>
        <v>@Tuananh_kr</v>
      </c>
    </row>
    <row r="45">
      <c r="A45" s="20">
        <f>IFERROR(__xludf.DUMMYFUNCTION("""COMPUTED_VALUE"""),2.0875E7)</f>
        <v>20875000</v>
      </c>
      <c r="B45" s="21" t="str">
        <f>IFERROR(__xludf.DUMMYFUNCTION("""COMPUTED_VALUE"""),"Bưu Cục 355 Võ Tấn Đức-Tam Bình-Vĩnh Long")</f>
        <v>Bưu Cục 355 Võ Tấn Đức-Tam Bình-Vĩnh Long</v>
      </c>
      <c r="C45" s="21" t="str">
        <f>IFERROR(__xludf.DUMMYFUNCTION("""COMPUTED_VALUE"""),"Vĩnh Long")</f>
        <v>Vĩnh Long</v>
      </c>
      <c r="D45" s="21" t="str">
        <f>IFERROR(__xludf.DUMMYFUNCTION("""COMPUTED_VALUE"""),"Nguyễn Tuấn Anh")</f>
        <v>Nguyễn Tuấn Anh</v>
      </c>
      <c r="E45" s="20">
        <f>IFERROR(__xludf.DUMMYFUNCTION("""COMPUTED_VALUE"""),3162597.0)</f>
        <v>3162597</v>
      </c>
      <c r="F45" s="21" t="str">
        <f>IFERROR(__xludf.DUMMYFUNCTION("""COMPUTED_VALUE"""),"@Tuananh_kr")</f>
        <v>@Tuananh_kr</v>
      </c>
    </row>
    <row r="46">
      <c r="A46" s="20">
        <f>IFERROR(__xludf.DUMMYFUNCTION("""COMPUTED_VALUE"""),2.0908E7)</f>
        <v>20908000</v>
      </c>
      <c r="B46" s="21" t="str">
        <f>IFERROR(__xludf.DUMMYFUNCTION("""COMPUTED_VALUE"""),"Bưu Cục 57/4 Phan Văn Đáng-Vĩnh Long-Vĩnh Long")</f>
        <v>Bưu Cục 57/4 Phan Văn Đáng-Vĩnh Long-Vĩnh Long</v>
      </c>
      <c r="C46" s="21" t="str">
        <f>IFERROR(__xludf.DUMMYFUNCTION("""COMPUTED_VALUE"""),"Vĩnh Long")</f>
        <v>Vĩnh Long</v>
      </c>
      <c r="D46" s="21" t="str">
        <f>IFERROR(__xludf.DUMMYFUNCTION("""COMPUTED_VALUE"""),"Nguyễn Tuấn Anh")</f>
        <v>Nguyễn Tuấn Anh</v>
      </c>
      <c r="E46" s="20">
        <f>IFERROR(__xludf.DUMMYFUNCTION("""COMPUTED_VALUE"""),3162597.0)</f>
        <v>3162597</v>
      </c>
      <c r="F46" s="21" t="str">
        <f>IFERROR(__xludf.DUMMYFUNCTION("""COMPUTED_VALUE"""),"@Tuananh_kr")</f>
        <v>@Tuananh_kr</v>
      </c>
    </row>
    <row r="47">
      <c r="A47" s="20">
        <f>IFERROR(__xludf.DUMMYFUNCTION("""COMPUTED_VALUE"""),2.2387E7)</f>
        <v>22387000</v>
      </c>
      <c r="B47" s="21" t="str">
        <f>IFERROR(__xludf.DUMMYFUNCTION("""COMPUTED_VALUE"""),"Bưu Cục 73 Phó Cơ Điều-Phường Phước Hậu-Vĩnh Long")</f>
        <v>Bưu Cục 73 Phó Cơ Điều-Phường Phước Hậu-Vĩnh Long</v>
      </c>
      <c r="C47" s="21" t="str">
        <f>IFERROR(__xludf.DUMMYFUNCTION("""COMPUTED_VALUE"""),"Vĩnh Long")</f>
        <v>Vĩnh Long</v>
      </c>
      <c r="D47" s="21" t="str">
        <f>IFERROR(__xludf.DUMMYFUNCTION("""COMPUTED_VALUE"""),"Nguyễn Tuấn Anh")</f>
        <v>Nguyễn Tuấn Anh</v>
      </c>
      <c r="E47" s="20">
        <f>IFERROR(__xludf.DUMMYFUNCTION("""COMPUTED_VALUE"""),3162597.0)</f>
        <v>3162597</v>
      </c>
      <c r="F47" s="21" t="str">
        <f>IFERROR(__xludf.DUMMYFUNCTION("""COMPUTED_VALUE"""),"@Tuananh_kr")</f>
        <v>@Tuananh_kr</v>
      </c>
    </row>
    <row r="48">
      <c r="A48" s="20">
        <f>IFERROR(__xludf.DUMMYFUNCTION("""COMPUTED_VALUE"""),2.1374E7)</f>
        <v>21374000</v>
      </c>
      <c r="B48" s="21" t="str">
        <f>IFERROR(__xludf.DUMMYFUNCTION("""COMPUTED_VALUE"""),"Bưu Cục 87 Lê Văn Vị-Cái Vồn-Bình Minh-Vĩnh Long")</f>
        <v>Bưu Cục 87 Lê Văn Vị-Cái Vồn-Bình Minh-Vĩnh Long</v>
      </c>
      <c r="C48" s="21" t="str">
        <f>IFERROR(__xludf.DUMMYFUNCTION("""COMPUTED_VALUE"""),"Vĩnh Long")</f>
        <v>Vĩnh Long</v>
      </c>
      <c r="D48" s="21" t="str">
        <f>IFERROR(__xludf.DUMMYFUNCTION("""COMPUTED_VALUE"""),"Nguyễn Tuấn Anh")</f>
        <v>Nguyễn Tuấn Anh</v>
      </c>
      <c r="E48" s="20">
        <f>IFERROR(__xludf.DUMMYFUNCTION("""COMPUTED_VALUE"""),3162597.0)</f>
        <v>3162597</v>
      </c>
      <c r="F48" s="21" t="str">
        <f>IFERROR(__xludf.DUMMYFUNCTION("""COMPUTED_VALUE"""),"@Tuananh_kr")</f>
        <v>@Tuananh_kr</v>
      </c>
    </row>
    <row r="49">
      <c r="A49" s="20">
        <f>IFERROR(__xludf.DUMMYFUNCTION("""COMPUTED_VALUE"""),2.0731E7)</f>
        <v>20731000</v>
      </c>
      <c r="B49" s="21" t="str">
        <f>IFERROR(__xludf.DUMMYFUNCTION("""COMPUTED_VALUE"""),"Bưu Cục Ấp Tân Thuận-Bình Tân-Vĩnh Long")</f>
        <v>Bưu Cục Ấp Tân Thuận-Bình Tân-Vĩnh Long</v>
      </c>
      <c r="C49" s="21" t="str">
        <f>IFERROR(__xludf.DUMMYFUNCTION("""COMPUTED_VALUE"""),"Vĩnh Long")</f>
        <v>Vĩnh Long</v>
      </c>
      <c r="D49" s="21" t="str">
        <f>IFERROR(__xludf.DUMMYFUNCTION("""COMPUTED_VALUE"""),"Nguyễn Tuấn Anh")</f>
        <v>Nguyễn Tuấn Anh</v>
      </c>
      <c r="E49" s="20">
        <f>IFERROR(__xludf.DUMMYFUNCTION("""COMPUTED_VALUE"""),3162597.0)</f>
        <v>3162597</v>
      </c>
      <c r="F49" s="21" t="str">
        <f>IFERROR(__xludf.DUMMYFUNCTION("""COMPUTED_VALUE"""),"@Tuananh_kr")</f>
        <v>@Tuananh_kr</v>
      </c>
    </row>
    <row r="50">
      <c r="A50" s="20">
        <f>IFERROR(__xludf.DUMMYFUNCTION("""COMPUTED_VALUE"""),2.1665E7)</f>
        <v>21665000</v>
      </c>
      <c r="B50" s="21" t="str">
        <f>IFERROR(__xludf.DUMMYFUNCTION("""COMPUTED_VALUE"""),"Bưu Cục Phước Long-Lộc Hòa-Long Hồ-Vĩnh Long")</f>
        <v>Bưu Cục Phước Long-Lộc Hòa-Long Hồ-Vĩnh Long</v>
      </c>
      <c r="C50" s="21" t="str">
        <f>IFERROR(__xludf.DUMMYFUNCTION("""COMPUTED_VALUE"""),"Vĩnh Long")</f>
        <v>Vĩnh Long</v>
      </c>
      <c r="D50" s="21" t="str">
        <f>IFERROR(__xludf.DUMMYFUNCTION("""COMPUTED_VALUE"""),"Nguyễn Tuấn Anh")</f>
        <v>Nguyễn Tuấn Anh</v>
      </c>
      <c r="E50" s="20">
        <f>IFERROR(__xludf.DUMMYFUNCTION("""COMPUTED_VALUE"""),3162597.0)</f>
        <v>3162597</v>
      </c>
      <c r="F50" s="21" t="str">
        <f>IFERROR(__xludf.DUMMYFUNCTION("""COMPUTED_VALUE"""),"@Tuananh_kr")</f>
        <v>@Tuananh_kr</v>
      </c>
    </row>
    <row r="51">
      <c r="A51" s="20">
        <f>IFERROR(__xludf.DUMMYFUNCTION("""COMPUTED_VALUE"""),2.0478E7)</f>
        <v>20478000</v>
      </c>
      <c r="B51" s="21" t="str">
        <f>IFERROR(__xludf.DUMMYFUNCTION("""COMPUTED_VALUE"""),"Bưu Cục Tổ 1 Đường 30/4-Trà Ôn-Vĩnh Long")</f>
        <v>Bưu Cục Tổ 1 Đường 30/4-Trà Ôn-Vĩnh Long</v>
      </c>
      <c r="C51" s="21" t="str">
        <f>IFERROR(__xludf.DUMMYFUNCTION("""COMPUTED_VALUE"""),"Vĩnh Long")</f>
        <v>Vĩnh Long</v>
      </c>
      <c r="D51" s="21" t="str">
        <f>IFERROR(__xludf.DUMMYFUNCTION("""COMPUTED_VALUE"""),"Nguyễn Tuấn Anh")</f>
        <v>Nguyễn Tuấn Anh</v>
      </c>
      <c r="E51" s="20">
        <f>IFERROR(__xludf.DUMMYFUNCTION("""COMPUTED_VALUE"""),3162597.0)</f>
        <v>3162597</v>
      </c>
      <c r="F51" s="21" t="str">
        <f>IFERROR(__xludf.DUMMYFUNCTION("""COMPUTED_VALUE"""),"@Tuananh_kr")</f>
        <v>@Tuananh_kr</v>
      </c>
    </row>
    <row r="52">
      <c r="A52" s="20">
        <f>IFERROR(__xludf.DUMMYFUNCTION("""COMPUTED_VALUE"""),2.2789E7)</f>
        <v>22789000</v>
      </c>
      <c r="B52" s="21" t="str">
        <f>IFERROR(__xludf.DUMMYFUNCTION("""COMPUTED_VALUE"""),"Bưu Cục Ấp Bình Hiệp A-Xã Lấp Vò-Đồng Tháp")</f>
        <v>Bưu Cục Ấp Bình Hiệp A-Xã Lấp Vò-Đồng Tháp</v>
      </c>
      <c r="C52" s="21" t="str">
        <f>IFERROR(__xludf.DUMMYFUNCTION("""COMPUTED_VALUE"""),"Đồng Tháp")</f>
        <v>Đồng Tháp</v>
      </c>
      <c r="D52" s="21" t="str">
        <f>IFERROR(__xludf.DUMMYFUNCTION("""COMPUTED_VALUE"""),"Lý Quài Nhân")</f>
        <v>Lý Quài Nhân</v>
      </c>
      <c r="E52" s="20">
        <f>IFERROR(__xludf.DUMMYFUNCTION("""COMPUTED_VALUE"""),3003753.0)</f>
        <v>3003753</v>
      </c>
      <c r="F52" s="21" t="str">
        <f>IFERROR(__xludf.DUMMYFUNCTION("""COMPUTED_VALUE"""),"@lynhantv92")</f>
        <v>@lynhantv92</v>
      </c>
    </row>
    <row r="53">
      <c r="A53" s="22">
        <f>IFERROR(__xludf.DUMMYFUNCTION("""COMPUTED_VALUE"""),2.2797E7)</f>
        <v>22797000</v>
      </c>
      <c r="B53" s="23" t="str">
        <f>IFERROR(__xludf.DUMMYFUNCTION("""COMPUTED_VALUE"""),"Bưu Cục Tỉnh Lộ DT848-Xã Mỹ An Hưng-Đồng Tháp")</f>
        <v>Bưu Cục Tỉnh Lộ DT848-Xã Mỹ An Hưng-Đồng Tháp</v>
      </c>
      <c r="C53" s="23" t="str">
        <f>IFERROR(__xludf.DUMMYFUNCTION("""COMPUTED_VALUE"""),"Đồng Tháp")</f>
        <v>Đồng Tháp</v>
      </c>
      <c r="D53" s="23" t="str">
        <f>IFERROR(__xludf.DUMMYFUNCTION("""COMPUTED_VALUE"""),"Lê Minh Tuấn")</f>
        <v>Lê Minh Tuấn</v>
      </c>
      <c r="E53" s="24">
        <f>IFERROR(__xludf.DUMMYFUNCTION("""COMPUTED_VALUE"""),1880732.0)</f>
        <v>1880732</v>
      </c>
      <c r="F53" s="24" t="str">
        <f>IFERROR(__xludf.DUMMYFUNCTION("""COMPUTED_VALUE"""),"@MinhTuanLM")</f>
        <v>@MinhTuanLM</v>
      </c>
    </row>
    <row r="54">
      <c r="A54" s="23">
        <f>IFERROR(__xludf.DUMMYFUNCTION("""COMPUTED_VALUE"""),2.2812E7)</f>
        <v>22812000</v>
      </c>
      <c r="B54" s="23" t="str">
        <f>IFERROR(__xludf.DUMMYFUNCTION("""COMPUTED_VALUE"""),"Bưu Cục DT846 Phương Trà-Xã Ba Sao-Đồng Tháp")</f>
        <v>Bưu Cục DT846 Phương Trà-Xã Ba Sao-Đồng Tháp</v>
      </c>
      <c r="C54" s="23" t="str">
        <f>IFERROR(__xludf.DUMMYFUNCTION("""COMPUTED_VALUE"""),"Đồng Tháp")</f>
        <v>Đồng Tháp</v>
      </c>
      <c r="D54" s="23" t="str">
        <f>IFERROR(__xludf.DUMMYFUNCTION("""COMPUTED_VALUE"""),"Nguyễn Việt Tới")</f>
        <v>Nguyễn Việt Tới</v>
      </c>
      <c r="E54" s="24">
        <f>IFERROR(__xludf.DUMMYFUNCTION("""COMPUTED_VALUE"""),27547.0)</f>
        <v>27547</v>
      </c>
      <c r="F54" s="24" t="str">
        <f>IFERROR(__xludf.DUMMYFUNCTION("""COMPUTED_VALUE"""),"@OP_MN_CAOLANH_DONGTHAP_TOI")</f>
        <v>@OP_MN_CAOLANH_DONGTHAP_TOI</v>
      </c>
    </row>
    <row r="55">
      <c r="A55" s="23">
        <f>IFERROR(__xludf.DUMMYFUNCTION("""COMPUTED_VALUE"""),2.2877E7)</f>
        <v>22877000</v>
      </c>
      <c r="B55" s="23" t="str">
        <f>IFERROR(__xludf.DUMMYFUNCTION("""COMPUTED_VALUE"""),"Bưu Cục Quốc Lộ 54-Xã Lai Vung-Đồng Tháp")</f>
        <v>Bưu Cục Quốc Lộ 54-Xã Lai Vung-Đồng Tháp</v>
      </c>
      <c r="C55" s="23" t="str">
        <f>IFERROR(__xludf.DUMMYFUNCTION("""COMPUTED_VALUE"""),"Đồng Tháp")</f>
        <v>Đồng Tháp</v>
      </c>
      <c r="D55" s="23" t="str">
        <f>IFERROR(__xludf.DUMMYFUNCTION("""COMPUTED_VALUE"""),"Lý Quài Nhân")</f>
        <v>Lý Quài Nhân</v>
      </c>
      <c r="E55" s="24">
        <f>IFERROR(__xludf.DUMMYFUNCTION("""COMPUTED_VALUE"""),3003753.0)</f>
        <v>3003753</v>
      </c>
      <c r="F55" s="24" t="str">
        <f>IFERROR(__xludf.DUMMYFUNCTION("""COMPUTED_VALUE"""),"@lynhantv92")</f>
        <v>@lynhantv92</v>
      </c>
    </row>
    <row r="56">
      <c r="A56" s="23">
        <f>IFERROR(__xludf.DUMMYFUNCTION("""COMPUTED_VALUE"""),2.2867E7)</f>
        <v>22867000</v>
      </c>
      <c r="B56" s="23" t="str">
        <f>IFERROR(__xludf.DUMMYFUNCTION("""COMPUTED_VALUE"""),"Bưu Cục 79 Đường Tỉnh 871-Xã Gia Thuận-Tiền Giang")</f>
        <v>Bưu Cục 79 Đường Tỉnh 871-Xã Gia Thuận-Tiền Giang</v>
      </c>
      <c r="C56" s="23" t="str">
        <f>IFERROR(__xludf.DUMMYFUNCTION("""COMPUTED_VALUE"""),"Tiền Giang")</f>
        <v>Tiền Giang</v>
      </c>
      <c r="D56" s="23" t="str">
        <f>IFERROR(__xludf.DUMMYFUNCTION("""COMPUTED_VALUE"""),"Nguyễn Anh Tùng")</f>
        <v>Nguyễn Anh Tùng</v>
      </c>
      <c r="E56" s="24">
        <f>IFERROR(__xludf.DUMMYFUNCTION("""COMPUTED_VALUE"""),3155955.0)</f>
        <v>3155955</v>
      </c>
      <c r="F56" s="24" t="str">
        <f>IFERROR(__xludf.DUMMYFUNCTION("""COMPUTED_VALUE"""),"@jimmytho91")</f>
        <v>@jimmytho91</v>
      </c>
    </row>
    <row r="57">
      <c r="A57" s="23">
        <f>IFERROR(__xludf.DUMMYFUNCTION("""COMPUTED_VALUE"""),2.2869E7)</f>
        <v>22869000</v>
      </c>
      <c r="B57" s="23" t="str">
        <f>IFERROR(__xludf.DUMMYFUNCTION("""COMPUTED_VALUE"""),"Bưu Cục Đường Tỉnh 861-Xã Mỹ Lợi-Tiền Giang")</f>
        <v>Bưu Cục Đường Tỉnh 861-Xã Mỹ Lợi-Tiền Giang</v>
      </c>
      <c r="C57" s="23" t="str">
        <f>IFERROR(__xludf.DUMMYFUNCTION("""COMPUTED_VALUE"""),"Tiền Giang")</f>
        <v>Tiền Giang</v>
      </c>
      <c r="D57" s="23" t="str">
        <f>IFERROR(__xludf.DUMMYFUNCTION("""COMPUTED_VALUE"""),"Lê Minh Tuấn")</f>
        <v>Lê Minh Tuấn</v>
      </c>
      <c r="E57" s="24">
        <f>IFERROR(__xludf.DUMMYFUNCTION("""COMPUTED_VALUE"""),1880732.0)</f>
        <v>1880732</v>
      </c>
      <c r="F57" s="24" t="str">
        <f>IFERROR(__xludf.DUMMYFUNCTION("""COMPUTED_VALUE"""),"@MinhTuanLM")</f>
        <v>@MinhTuanLM</v>
      </c>
    </row>
    <row r="58">
      <c r="A58" s="23">
        <f>IFERROR(__xludf.DUMMYFUNCTION("""COMPUTED_VALUE"""),2.291E7)</f>
        <v>22910000</v>
      </c>
      <c r="B58" s="23" t="str">
        <f>IFERROR(__xludf.DUMMYFUNCTION("""COMPUTED_VALUE"""),"Bưu Cục Quốc Lộ 57-Xã Hương Mỹ-Bến Tre")</f>
        <v>Bưu Cục Quốc Lộ 57-Xã Hương Mỹ-Bến Tre</v>
      </c>
      <c r="C58" s="23" t="str">
        <f>IFERROR(__xludf.DUMMYFUNCTION("""COMPUTED_VALUE"""),"Bến Tre")</f>
        <v>Bến Tre</v>
      </c>
      <c r="D58" s="23" t="str">
        <f>IFERROR(__xludf.DUMMYFUNCTION("""COMPUTED_VALUE"""),"Huỳnh Phương Duy")</f>
        <v>Huỳnh Phương Duy</v>
      </c>
      <c r="E58" s="24">
        <f>IFERROR(__xludf.DUMMYFUNCTION("""COMPUTED_VALUE"""),3147922.0)</f>
        <v>3147922</v>
      </c>
      <c r="F58" s="24" t="str">
        <f>IFERROR(__xludf.DUMMYFUNCTION("""COMPUTED_VALUE"""),"@DUY_AM_BTE")</f>
        <v>@DUY_AM_BTE</v>
      </c>
    </row>
    <row r="59">
      <c r="A59" s="23">
        <f>IFERROR(__xludf.DUMMYFUNCTION("""COMPUTED_VALUE"""),2.2916E7)</f>
        <v>22916000</v>
      </c>
      <c r="B59" s="23" t="str">
        <f>IFERROR(__xludf.DUMMYFUNCTION("""COMPUTED_VALUE"""),"Bưu Cục Quốc Lộ 53-Xã Trung Thành-Vĩnh Long")</f>
        <v>Bưu Cục Quốc Lộ 53-Xã Trung Thành-Vĩnh Long</v>
      </c>
      <c r="C59" s="23" t="str">
        <f>IFERROR(__xludf.DUMMYFUNCTION("""COMPUTED_VALUE"""),"Vĩnh Long")</f>
        <v>Vĩnh Long</v>
      </c>
      <c r="D59" s="23" t="str">
        <f>IFERROR(__xludf.DUMMYFUNCTION("""COMPUTED_VALUE"""),"Nguyễn Tuấn Anh")</f>
        <v>Nguyễn Tuấn Anh</v>
      </c>
      <c r="E59" s="24">
        <f>IFERROR(__xludf.DUMMYFUNCTION("""COMPUTED_VALUE"""),3162597.0)</f>
        <v>3162597</v>
      </c>
      <c r="F59" s="24" t="str">
        <f>IFERROR(__xludf.DUMMYFUNCTION("""COMPUTED_VALUE"""),"@Tuananh_kr")</f>
        <v>@Tuananh_kr</v>
      </c>
    </row>
    <row r="60">
      <c r="A60" s="23">
        <f>IFERROR(__xludf.DUMMYFUNCTION("""COMPUTED_VALUE"""),2.292E7)</f>
        <v>22920000</v>
      </c>
      <c r="B60" s="23" t="str">
        <f>IFERROR(__xludf.DUMMYFUNCTION("""COMPUTED_VALUE"""),"Bưu Cục 19 Đường DT848-Sa Đéc-Đồng Tháp")</f>
        <v>Bưu Cục 19 Đường DT848-Sa Đéc-Đồng Tháp</v>
      </c>
      <c r="C60" s="23" t="str">
        <f>IFERROR(__xludf.DUMMYFUNCTION("""COMPUTED_VALUE"""),"Đồng Tháp")</f>
        <v>Đồng Tháp</v>
      </c>
      <c r="D60" s="23" t="str">
        <f>IFERROR(__xludf.DUMMYFUNCTION("""COMPUTED_VALUE"""),"Lý Quài Nhân")</f>
        <v>Lý Quài Nhân</v>
      </c>
      <c r="E60" s="24">
        <f>IFERROR(__xludf.DUMMYFUNCTION("""COMPUTED_VALUE"""),3003753.0)</f>
        <v>3003753</v>
      </c>
      <c r="F60" s="24" t="str">
        <f>IFERROR(__xludf.DUMMYFUNCTION("""COMPUTED_VALUE"""),"@lynhantv92")</f>
        <v>@lynhantv92</v>
      </c>
    </row>
    <row r="61">
      <c r="A61" s="23">
        <f>IFERROR(__xludf.DUMMYFUNCTION("""COMPUTED_VALUE"""),2.2972E7)</f>
        <v>22972000</v>
      </c>
      <c r="B61" s="23" t="str">
        <f>IFERROR(__xludf.DUMMYFUNCTION("""COMPUTED_VALUE"""),"Bưu Cục Võ Nguyên Giáp-Phú Tân-Bến Tre")</f>
        <v>Bưu Cục Võ Nguyên Giáp-Phú Tân-Bến Tre</v>
      </c>
      <c r="C61" s="23" t="str">
        <f>IFERROR(__xludf.DUMMYFUNCTION("""COMPUTED_VALUE"""),"Bến Tre")</f>
        <v>Bến Tre</v>
      </c>
      <c r="D61" s="23" t="str">
        <f>IFERROR(__xludf.DUMMYFUNCTION("""COMPUTED_VALUE"""),"Nguyễn Thành Huy")</f>
        <v>Nguyễn Thành Huy</v>
      </c>
      <c r="E61" s="24">
        <f>IFERROR(__xludf.DUMMYFUNCTION("""COMPUTED_VALUE"""),2047719.0)</f>
        <v>2047719</v>
      </c>
      <c r="F61" s="24" t="str">
        <f>IFERROR(__xludf.DUMMYFUNCTION("""COMPUTED_VALUE"""),"@nguyenthanhhuytv")</f>
        <v>@nguyenthanhhuytv</v>
      </c>
    </row>
    <row r="62">
      <c r="A62" s="23">
        <f>IFERROR(__xludf.DUMMYFUNCTION("""COMPUTED_VALUE"""),2.298E7)</f>
        <v>22980000</v>
      </c>
      <c r="B62" s="23" t="str">
        <f>IFERROR(__xludf.DUMMYFUNCTION("""COMPUTED_VALUE"""),"Bưu Cục Quốc Lộ 53-Long Hồ-Vĩnh Long")</f>
        <v>Bưu Cục Quốc Lộ 53-Long Hồ-Vĩnh Long</v>
      </c>
      <c r="C62" s="23" t="str">
        <f>IFERROR(__xludf.DUMMYFUNCTION("""COMPUTED_VALUE"""),"Vĩnh Long")</f>
        <v>Vĩnh Long</v>
      </c>
      <c r="D62" s="23" t="str">
        <f>IFERROR(__xludf.DUMMYFUNCTION("""COMPUTED_VALUE"""),"Nguyễn Tuấn Anh")</f>
        <v>Nguyễn Tuấn Anh</v>
      </c>
      <c r="E62" s="24">
        <f>IFERROR(__xludf.DUMMYFUNCTION("""COMPUTED_VALUE"""),3162597.0)</f>
        <v>3162597</v>
      </c>
      <c r="F62" s="24" t="str">
        <f>IFERROR(__xludf.DUMMYFUNCTION("""COMPUTED_VALUE"""),"@Tuananh_kr")</f>
        <v>@Tuananh_kr</v>
      </c>
    </row>
    <row r="63">
      <c r="A63" s="23"/>
      <c r="B63" s="23"/>
      <c r="C63" s="23"/>
      <c r="D63" s="23"/>
      <c r="E63" s="24" t="str">
        <f>IFERROR(__xludf.DUMMYFUNCTION("""COMPUTED_VALUE"""),"#N/A")</f>
        <v>#N/A</v>
      </c>
      <c r="F63" s="24" t="str">
        <f>IFERROR(__xludf.DUMMYFUNCTION("""COMPUTED_VALUE"""),"#N/A")</f>
        <v>#N/A</v>
      </c>
    </row>
    <row r="64">
      <c r="A64" s="23"/>
      <c r="B64" s="23"/>
      <c r="C64" s="23"/>
      <c r="D64" s="23"/>
      <c r="E64" s="24" t="str">
        <f>IFERROR(__xludf.DUMMYFUNCTION("""COMPUTED_VALUE"""),"#N/A")</f>
        <v>#N/A</v>
      </c>
      <c r="F64" s="24" t="str">
        <f>IFERROR(__xludf.DUMMYFUNCTION("""COMPUTED_VALUE"""),"#N/A")</f>
        <v>#N/A</v>
      </c>
    </row>
    <row r="65">
      <c r="A65" s="23"/>
      <c r="B65" s="23"/>
      <c r="C65" s="23"/>
      <c r="D65" s="23"/>
      <c r="E65" s="24" t="str">
        <f>IFERROR(__xludf.DUMMYFUNCTION("""COMPUTED_VALUE"""),"#N/A")</f>
        <v>#N/A</v>
      </c>
      <c r="F65" s="24" t="str">
        <f>IFERROR(__xludf.DUMMYFUNCTION("""COMPUTED_VALUE"""),"#N/A")</f>
        <v>#N/A</v>
      </c>
    </row>
    <row r="66">
      <c r="A66" s="23"/>
      <c r="B66" s="23"/>
      <c r="C66" s="23"/>
      <c r="D66" s="23"/>
      <c r="E66" s="24" t="str">
        <f>IFERROR(__xludf.DUMMYFUNCTION("""COMPUTED_VALUE"""),"#N/A")</f>
        <v>#N/A</v>
      </c>
      <c r="F66" s="24" t="str">
        <f>IFERROR(__xludf.DUMMYFUNCTION("""COMPUTED_VALUE"""),"#N/A")</f>
        <v>#N/A</v>
      </c>
    </row>
    <row r="67">
      <c r="A67" s="23"/>
      <c r="B67" s="23"/>
      <c r="C67" s="23"/>
      <c r="D67" s="23"/>
      <c r="E67" s="24" t="str">
        <f>IFERROR(__xludf.DUMMYFUNCTION("""COMPUTED_VALUE"""),"#N/A")</f>
        <v>#N/A</v>
      </c>
      <c r="F67" s="24" t="str">
        <f>IFERROR(__xludf.DUMMYFUNCTION("""COMPUTED_VALUE"""),"#N/A")</f>
        <v>#N/A</v>
      </c>
    </row>
    <row r="68">
      <c r="A68" s="23"/>
      <c r="B68" s="23"/>
      <c r="C68" s="23"/>
      <c r="D68" s="23"/>
      <c r="E68" s="24" t="str">
        <f>IFERROR(__xludf.DUMMYFUNCTION("""COMPUTED_VALUE"""),"#N/A")</f>
        <v>#N/A</v>
      </c>
      <c r="F68" s="24" t="str">
        <f>IFERROR(__xludf.DUMMYFUNCTION("""COMPUTED_VALUE"""),"#N/A")</f>
        <v>#N/A</v>
      </c>
    </row>
    <row r="69">
      <c r="A69" s="23"/>
      <c r="B69" s="23"/>
      <c r="C69" s="23"/>
      <c r="D69" s="23"/>
      <c r="E69" s="24" t="str">
        <f>IFERROR(__xludf.DUMMYFUNCTION("""COMPUTED_VALUE"""),"#N/A")</f>
        <v>#N/A</v>
      </c>
      <c r="F69" s="24" t="str">
        <f>IFERROR(__xludf.DUMMYFUNCTION("""COMPUTED_VALUE"""),"#N/A")</f>
        <v>#N/A</v>
      </c>
    </row>
    <row r="70">
      <c r="A70" s="23"/>
      <c r="B70" s="23"/>
      <c r="C70" s="23"/>
      <c r="D70" s="23"/>
      <c r="E70" s="24" t="str">
        <f>IFERROR(__xludf.DUMMYFUNCTION("""COMPUTED_VALUE"""),"#N/A")</f>
        <v>#N/A</v>
      </c>
      <c r="F70" s="24" t="str">
        <f>IFERROR(__xludf.DUMMYFUNCTION("""COMPUTED_VALUE"""),"#N/A")</f>
        <v>#N/A</v>
      </c>
    </row>
    <row r="71">
      <c r="A71" s="23"/>
      <c r="B71" s="23"/>
      <c r="C71" s="23"/>
      <c r="D71" s="23"/>
      <c r="E71" s="24" t="str">
        <f>IFERROR(__xludf.DUMMYFUNCTION("""COMPUTED_VALUE"""),"#N/A")</f>
        <v>#N/A</v>
      </c>
      <c r="F71" s="24" t="str">
        <f>IFERROR(__xludf.DUMMYFUNCTION("""COMPUTED_VALUE"""),"#N/A")</f>
        <v>#N/A</v>
      </c>
    </row>
    <row r="72">
      <c r="A72" s="23"/>
      <c r="B72" s="23"/>
      <c r="C72" s="23"/>
      <c r="D72" s="23"/>
      <c r="E72" s="24" t="str">
        <f>IFERROR(__xludf.DUMMYFUNCTION("""COMPUTED_VALUE"""),"#N/A")</f>
        <v>#N/A</v>
      </c>
      <c r="F72" s="24" t="str">
        <f>IFERROR(__xludf.DUMMYFUNCTION("""COMPUTED_VALUE"""),"#N/A")</f>
        <v>#N/A</v>
      </c>
    </row>
    <row r="73">
      <c r="A73" s="23"/>
      <c r="B73" s="23"/>
      <c r="C73" s="23"/>
      <c r="D73" s="23"/>
      <c r="E73" s="24" t="str">
        <f>IFERROR(__xludf.DUMMYFUNCTION("""COMPUTED_VALUE"""),"#N/A")</f>
        <v>#N/A</v>
      </c>
      <c r="F73" s="24" t="str">
        <f>IFERROR(__xludf.DUMMYFUNCTION("""COMPUTED_VALUE"""),"#N/A")</f>
        <v>#N/A</v>
      </c>
    </row>
    <row r="74">
      <c r="A74" s="23"/>
      <c r="B74" s="23"/>
      <c r="C74" s="23"/>
      <c r="D74" s="23"/>
      <c r="E74" s="24" t="str">
        <f>IFERROR(__xludf.DUMMYFUNCTION("""COMPUTED_VALUE"""),"#N/A")</f>
        <v>#N/A</v>
      </c>
      <c r="F74" s="24" t="str">
        <f>IFERROR(__xludf.DUMMYFUNCTION("""COMPUTED_VALUE"""),"#N/A")</f>
        <v>#N/A</v>
      </c>
    </row>
    <row r="75">
      <c r="A75" s="23"/>
      <c r="B75" s="23"/>
      <c r="C75" s="23"/>
      <c r="D75" s="23"/>
      <c r="E75" s="24" t="str">
        <f>IFERROR(__xludf.DUMMYFUNCTION("""COMPUTED_VALUE"""),"#N/A")</f>
        <v>#N/A</v>
      </c>
      <c r="F75" s="24" t="str">
        <f>IFERROR(__xludf.DUMMYFUNCTION("""COMPUTED_VALUE"""),"#N/A")</f>
        <v>#N/A</v>
      </c>
    </row>
    <row r="76">
      <c r="A76" s="23"/>
      <c r="B76" s="23"/>
      <c r="C76" s="23"/>
      <c r="D76" s="23"/>
      <c r="E76" s="24" t="str">
        <f>IFERROR(__xludf.DUMMYFUNCTION("""COMPUTED_VALUE"""),"#N/A")</f>
        <v>#N/A</v>
      </c>
      <c r="F76" s="24" t="str">
        <f>IFERROR(__xludf.DUMMYFUNCTION("""COMPUTED_VALUE"""),"#N/A")</f>
        <v>#N/A</v>
      </c>
    </row>
    <row r="77">
      <c r="A77" s="23"/>
      <c r="B77" s="23"/>
      <c r="C77" s="23"/>
      <c r="D77" s="23"/>
      <c r="E77" s="24" t="str">
        <f>IFERROR(__xludf.DUMMYFUNCTION("""COMPUTED_VALUE"""),"#N/A")</f>
        <v>#N/A</v>
      </c>
      <c r="F77" s="24" t="str">
        <f>IFERROR(__xludf.DUMMYFUNCTION("""COMPUTED_VALUE"""),"#N/A")</f>
        <v>#N/A</v>
      </c>
    </row>
    <row r="78">
      <c r="A78" s="23"/>
      <c r="B78" s="23"/>
      <c r="C78" s="23"/>
      <c r="D78" s="23"/>
      <c r="E78" s="24" t="str">
        <f>IFERROR(__xludf.DUMMYFUNCTION("""COMPUTED_VALUE"""),"#N/A")</f>
        <v>#N/A</v>
      </c>
      <c r="F78" s="24" t="str">
        <f>IFERROR(__xludf.DUMMYFUNCTION("""COMPUTED_VALUE"""),"#N/A")</f>
        <v>#N/A</v>
      </c>
    </row>
    <row r="79">
      <c r="A79" s="23"/>
      <c r="B79" s="23"/>
      <c r="C79" s="23"/>
      <c r="D79" s="23"/>
      <c r="E79" s="24" t="str">
        <f>IFERROR(__xludf.DUMMYFUNCTION("""COMPUTED_VALUE"""),"#N/A")</f>
        <v>#N/A</v>
      </c>
      <c r="F79" s="24" t="str">
        <f>IFERROR(__xludf.DUMMYFUNCTION("""COMPUTED_VALUE"""),"#N/A")</f>
        <v>#N/A</v>
      </c>
    </row>
    <row r="80">
      <c r="A80" s="23"/>
      <c r="B80" s="23"/>
      <c r="C80" s="23"/>
      <c r="D80" s="23"/>
      <c r="E80" s="24" t="str">
        <f>IFERROR(__xludf.DUMMYFUNCTION("""COMPUTED_VALUE"""),"#N/A")</f>
        <v>#N/A</v>
      </c>
      <c r="F80" s="24" t="str">
        <f>IFERROR(__xludf.DUMMYFUNCTION("""COMPUTED_VALUE"""),"#N/A")</f>
        <v>#N/A</v>
      </c>
    </row>
    <row r="81">
      <c r="A81" s="23"/>
      <c r="B81" s="23"/>
      <c r="C81" s="23"/>
      <c r="D81" s="23"/>
      <c r="E81" s="24" t="str">
        <f>IFERROR(__xludf.DUMMYFUNCTION("""COMPUTED_VALUE"""),"#N/A")</f>
        <v>#N/A</v>
      </c>
      <c r="F81" s="24" t="str">
        <f>IFERROR(__xludf.DUMMYFUNCTION("""COMPUTED_VALUE"""),"#N/A")</f>
        <v>#N/A</v>
      </c>
    </row>
    <row r="82">
      <c r="A82" s="23"/>
      <c r="B82" s="23"/>
      <c r="C82" s="23"/>
      <c r="D82" s="23"/>
      <c r="E82" s="24" t="str">
        <f>IFERROR(__xludf.DUMMYFUNCTION("""COMPUTED_VALUE"""),"#N/A")</f>
        <v>#N/A</v>
      </c>
      <c r="F82" s="24" t="str">
        <f>IFERROR(__xludf.DUMMYFUNCTION("""COMPUTED_VALUE"""),"#N/A")</f>
        <v>#N/A</v>
      </c>
    </row>
    <row r="83">
      <c r="A83" s="23"/>
      <c r="B83" s="23"/>
      <c r="C83" s="23"/>
      <c r="D83" s="23"/>
      <c r="E83" s="24" t="str">
        <f>IFERROR(__xludf.DUMMYFUNCTION("""COMPUTED_VALUE"""),"#N/A")</f>
        <v>#N/A</v>
      </c>
      <c r="F83" s="24" t="str">
        <f>IFERROR(__xludf.DUMMYFUNCTION("""COMPUTED_VALUE"""),"#N/A")</f>
        <v>#N/A</v>
      </c>
    </row>
    <row r="84">
      <c r="A84" s="23"/>
      <c r="B84" s="23"/>
      <c r="C84" s="23"/>
      <c r="D84" s="23"/>
      <c r="E84" s="24" t="str">
        <f>IFERROR(__xludf.DUMMYFUNCTION("""COMPUTED_VALUE"""),"#N/A")</f>
        <v>#N/A</v>
      </c>
      <c r="F84" s="24" t="str">
        <f>IFERROR(__xludf.DUMMYFUNCTION("""COMPUTED_VALUE"""),"#N/A")</f>
        <v>#N/A</v>
      </c>
    </row>
    <row r="85">
      <c r="A85" s="23"/>
      <c r="B85" s="23"/>
      <c r="C85" s="23"/>
      <c r="D85" s="23"/>
      <c r="E85" s="24" t="str">
        <f>IFERROR(__xludf.DUMMYFUNCTION("""COMPUTED_VALUE"""),"#N/A")</f>
        <v>#N/A</v>
      </c>
      <c r="F85" s="24" t="str">
        <f>IFERROR(__xludf.DUMMYFUNCTION("""COMPUTED_VALUE"""),"#N/A")</f>
        <v>#N/A</v>
      </c>
    </row>
    <row r="86">
      <c r="A86" s="23"/>
      <c r="B86" s="23"/>
      <c r="C86" s="23"/>
      <c r="D86" s="23"/>
      <c r="E86" s="24" t="str">
        <f>IFERROR(__xludf.DUMMYFUNCTION("""COMPUTED_VALUE"""),"#N/A")</f>
        <v>#N/A</v>
      </c>
      <c r="F86" s="24" t="str">
        <f>IFERROR(__xludf.DUMMYFUNCTION("""COMPUTED_VALUE"""),"#N/A")</f>
        <v>#N/A</v>
      </c>
    </row>
    <row r="87">
      <c r="A87" s="23"/>
      <c r="B87" s="23"/>
      <c r="C87" s="23"/>
      <c r="D87" s="23"/>
      <c r="E87" s="24" t="str">
        <f>IFERROR(__xludf.DUMMYFUNCTION("""COMPUTED_VALUE"""),"#N/A")</f>
        <v>#N/A</v>
      </c>
      <c r="F87" s="24" t="str">
        <f>IFERROR(__xludf.DUMMYFUNCTION("""COMPUTED_VALUE"""),"#N/A")</f>
        <v>#N/A</v>
      </c>
    </row>
    <row r="88">
      <c r="A88" s="23"/>
      <c r="B88" s="23"/>
      <c r="C88" s="23"/>
      <c r="D88" s="23"/>
      <c r="E88" s="24" t="str">
        <f>IFERROR(__xludf.DUMMYFUNCTION("""COMPUTED_VALUE"""),"#N/A")</f>
        <v>#N/A</v>
      </c>
      <c r="F88" s="24" t="str">
        <f>IFERROR(__xludf.DUMMYFUNCTION("""COMPUTED_VALUE"""),"#N/A")</f>
        <v>#N/A</v>
      </c>
    </row>
    <row r="89">
      <c r="A89" s="23"/>
      <c r="B89" s="23"/>
      <c r="C89" s="23"/>
      <c r="D89" s="23"/>
      <c r="E89" s="24" t="str">
        <f>IFERROR(__xludf.DUMMYFUNCTION("""COMPUTED_VALUE"""),"#N/A")</f>
        <v>#N/A</v>
      </c>
      <c r="F89" s="24" t="str">
        <f>IFERROR(__xludf.DUMMYFUNCTION("""COMPUTED_VALUE"""),"#N/A")</f>
        <v>#N/A</v>
      </c>
    </row>
    <row r="90">
      <c r="A90" s="23"/>
      <c r="B90" s="23"/>
      <c r="C90" s="23"/>
      <c r="D90" s="23"/>
      <c r="E90" s="24" t="str">
        <f>IFERROR(__xludf.DUMMYFUNCTION("""COMPUTED_VALUE"""),"#N/A")</f>
        <v>#N/A</v>
      </c>
      <c r="F90" s="24" t="str">
        <f>IFERROR(__xludf.DUMMYFUNCTION("""COMPUTED_VALUE"""),"#N/A")</f>
        <v>#N/A</v>
      </c>
    </row>
    <row r="91">
      <c r="A91" s="23"/>
      <c r="B91" s="23"/>
      <c r="C91" s="23"/>
      <c r="D91" s="23"/>
      <c r="E91" s="24" t="str">
        <f>IFERROR(__xludf.DUMMYFUNCTION("""COMPUTED_VALUE"""),"#N/A")</f>
        <v>#N/A</v>
      </c>
      <c r="F91" s="24" t="str">
        <f>IFERROR(__xludf.DUMMYFUNCTION("""COMPUTED_VALUE"""),"#N/A")</f>
        <v>#N/A</v>
      </c>
    </row>
    <row r="92">
      <c r="A92" s="23"/>
      <c r="B92" s="23"/>
      <c r="C92" s="23"/>
      <c r="D92" s="23"/>
      <c r="E92" s="24" t="str">
        <f>IFERROR(__xludf.DUMMYFUNCTION("""COMPUTED_VALUE"""),"#N/A")</f>
        <v>#N/A</v>
      </c>
      <c r="F92" s="24" t="str">
        <f>IFERROR(__xludf.DUMMYFUNCTION("""COMPUTED_VALUE"""),"#N/A")</f>
        <v>#N/A</v>
      </c>
    </row>
    <row r="93">
      <c r="A93" s="23"/>
      <c r="B93" s="23"/>
      <c r="C93" s="23"/>
      <c r="D93" s="23"/>
      <c r="E93" s="24" t="str">
        <f>IFERROR(__xludf.DUMMYFUNCTION("""COMPUTED_VALUE"""),"#N/A")</f>
        <v>#N/A</v>
      </c>
      <c r="F93" s="24" t="str">
        <f>IFERROR(__xludf.DUMMYFUNCTION("""COMPUTED_VALUE"""),"#N/A")</f>
        <v>#N/A</v>
      </c>
    </row>
    <row r="94">
      <c r="A94" s="23"/>
      <c r="B94" s="23"/>
      <c r="C94" s="23"/>
      <c r="D94" s="23"/>
      <c r="E94" s="24" t="str">
        <f>IFERROR(__xludf.DUMMYFUNCTION("""COMPUTED_VALUE"""),"#N/A")</f>
        <v>#N/A</v>
      </c>
      <c r="F94" s="24" t="str">
        <f>IFERROR(__xludf.DUMMYFUNCTION("""COMPUTED_VALUE"""),"#N/A")</f>
        <v>#N/A</v>
      </c>
    </row>
    <row r="95">
      <c r="A95" s="23"/>
      <c r="B95" s="23"/>
      <c r="C95" s="23"/>
      <c r="D95" s="23"/>
      <c r="E95" s="24" t="str">
        <f>IFERROR(__xludf.DUMMYFUNCTION("""COMPUTED_VALUE"""),"#N/A")</f>
        <v>#N/A</v>
      </c>
      <c r="F95" s="24" t="str">
        <f>IFERROR(__xludf.DUMMYFUNCTION("""COMPUTED_VALUE"""),"#N/A")</f>
        <v>#N/A</v>
      </c>
    </row>
    <row r="96">
      <c r="A96" s="23"/>
      <c r="B96" s="23"/>
      <c r="C96" s="23"/>
      <c r="D96" s="23"/>
      <c r="E96" s="24" t="str">
        <f>IFERROR(__xludf.DUMMYFUNCTION("""COMPUTED_VALUE"""),"#N/A")</f>
        <v>#N/A</v>
      </c>
      <c r="F96" s="24" t="str">
        <f>IFERROR(__xludf.DUMMYFUNCTION("""COMPUTED_VALUE"""),"#N/A")</f>
        <v>#N/A</v>
      </c>
    </row>
    <row r="97">
      <c r="A97" s="23"/>
      <c r="B97" s="23"/>
      <c r="C97" s="23"/>
      <c r="D97" s="23"/>
      <c r="E97" s="24" t="str">
        <f>IFERROR(__xludf.DUMMYFUNCTION("""COMPUTED_VALUE"""),"#N/A")</f>
        <v>#N/A</v>
      </c>
      <c r="F97" s="24" t="str">
        <f>IFERROR(__xludf.DUMMYFUNCTION("""COMPUTED_VALUE"""),"#N/A")</f>
        <v>#N/A</v>
      </c>
    </row>
    <row r="98">
      <c r="A98" s="23"/>
      <c r="B98" s="23"/>
      <c r="C98" s="23"/>
      <c r="D98" s="23"/>
      <c r="E98" s="24" t="str">
        <f>IFERROR(__xludf.DUMMYFUNCTION("""COMPUTED_VALUE"""),"#N/A")</f>
        <v>#N/A</v>
      </c>
      <c r="F98" s="24" t="str">
        <f>IFERROR(__xludf.DUMMYFUNCTION("""COMPUTED_VALUE"""),"#N/A")</f>
        <v>#N/A</v>
      </c>
    </row>
    <row r="99">
      <c r="A99" s="23"/>
      <c r="B99" s="23"/>
      <c r="C99" s="23"/>
      <c r="D99" s="23"/>
      <c r="E99" s="24" t="str">
        <f>IFERROR(__xludf.DUMMYFUNCTION("""COMPUTED_VALUE"""),"#N/A")</f>
        <v>#N/A</v>
      </c>
      <c r="F99" s="24" t="str">
        <f>IFERROR(__xludf.DUMMYFUNCTION("""COMPUTED_VALUE"""),"#N/A")</f>
        <v>#N/A</v>
      </c>
    </row>
    <row r="100">
      <c r="A100" s="23"/>
      <c r="B100" s="23"/>
      <c r="C100" s="23"/>
      <c r="D100" s="23"/>
      <c r="E100" s="24" t="str">
        <f>IFERROR(__xludf.DUMMYFUNCTION("""COMPUTED_VALUE"""),"#N/A")</f>
        <v>#N/A</v>
      </c>
      <c r="F100" s="24" t="str">
        <f>IFERROR(__xludf.DUMMYFUNCTION("""COMPUTED_VALUE"""),"#N/A")</f>
        <v>#N/A</v>
      </c>
    </row>
    <row r="101">
      <c r="A101" s="23"/>
      <c r="B101" s="23"/>
      <c r="C101" s="23"/>
      <c r="D101" s="23"/>
      <c r="E101" s="24" t="str">
        <f>IFERROR(__xludf.DUMMYFUNCTION("""COMPUTED_VALUE"""),"#N/A")</f>
        <v>#N/A</v>
      </c>
      <c r="F101" s="24" t="str">
        <f>IFERROR(__xludf.DUMMYFUNCTION("""COMPUTED_VALUE"""),"#N/A")</f>
        <v>#N/A</v>
      </c>
    </row>
    <row r="102">
      <c r="A102" s="23"/>
      <c r="B102" s="23"/>
      <c r="C102" s="23"/>
      <c r="D102" s="23"/>
      <c r="E102" s="24" t="str">
        <f>IFERROR(__xludf.DUMMYFUNCTION("""COMPUTED_VALUE"""),"#N/A")</f>
        <v>#N/A</v>
      </c>
      <c r="F102" s="24" t="str">
        <f>IFERROR(__xludf.DUMMYFUNCTION("""COMPUTED_VALUE"""),"#N/A")</f>
        <v>#N/A</v>
      </c>
    </row>
    <row r="103">
      <c r="A103" s="23"/>
      <c r="B103" s="23"/>
      <c r="C103" s="23"/>
      <c r="D103" s="23"/>
      <c r="E103" s="24" t="str">
        <f>IFERROR(__xludf.DUMMYFUNCTION("""COMPUTED_VALUE"""),"#N/A")</f>
        <v>#N/A</v>
      </c>
      <c r="F103" s="24" t="str">
        <f>IFERROR(__xludf.DUMMYFUNCTION("""COMPUTED_VALUE"""),"#N/A")</f>
        <v>#N/A</v>
      </c>
    </row>
    <row r="104">
      <c r="A104" s="23"/>
      <c r="B104" s="23"/>
      <c r="C104" s="23"/>
      <c r="D104" s="23"/>
      <c r="E104" s="24" t="str">
        <f>IFERROR(__xludf.DUMMYFUNCTION("""COMPUTED_VALUE"""),"#N/A")</f>
        <v>#N/A</v>
      </c>
      <c r="F104" s="24" t="str">
        <f>IFERROR(__xludf.DUMMYFUNCTION("""COMPUTED_VALUE"""),"#N/A")</f>
        <v>#N/A</v>
      </c>
    </row>
    <row r="105">
      <c r="A105" s="23"/>
      <c r="B105" s="23"/>
      <c r="C105" s="23"/>
      <c r="D105" s="23"/>
      <c r="E105" s="24" t="str">
        <f>IFERROR(__xludf.DUMMYFUNCTION("""COMPUTED_VALUE"""),"#N/A")</f>
        <v>#N/A</v>
      </c>
      <c r="F105" s="24" t="str">
        <f>IFERROR(__xludf.DUMMYFUNCTION("""COMPUTED_VALUE"""),"#N/A")</f>
        <v>#N/A</v>
      </c>
    </row>
    <row r="106">
      <c r="A106" s="23"/>
      <c r="B106" s="23"/>
      <c r="C106" s="23"/>
      <c r="D106" s="23"/>
      <c r="E106" s="24" t="str">
        <f>IFERROR(__xludf.DUMMYFUNCTION("""COMPUTED_VALUE"""),"#N/A")</f>
        <v>#N/A</v>
      </c>
      <c r="F106" s="24" t="str">
        <f>IFERROR(__xludf.DUMMYFUNCTION("""COMPUTED_VALUE"""),"#N/A")</f>
        <v>#N/A</v>
      </c>
    </row>
    <row r="107">
      <c r="A107" s="23"/>
      <c r="B107" s="23"/>
      <c r="C107" s="23"/>
      <c r="D107" s="23"/>
      <c r="E107" s="24" t="str">
        <f>IFERROR(__xludf.DUMMYFUNCTION("""COMPUTED_VALUE"""),"#N/A")</f>
        <v>#N/A</v>
      </c>
      <c r="F107" s="24" t="str">
        <f>IFERROR(__xludf.DUMMYFUNCTION("""COMPUTED_VALUE"""),"#N/A")</f>
        <v>#N/A</v>
      </c>
    </row>
    <row r="108">
      <c r="A108" s="23"/>
      <c r="B108" s="23"/>
      <c r="C108" s="23"/>
      <c r="D108" s="23"/>
      <c r="E108" s="24" t="str">
        <f>IFERROR(__xludf.DUMMYFUNCTION("""COMPUTED_VALUE"""),"#N/A")</f>
        <v>#N/A</v>
      </c>
      <c r="F108" s="24" t="str">
        <f>IFERROR(__xludf.DUMMYFUNCTION("""COMPUTED_VALUE"""),"#N/A")</f>
        <v>#N/A</v>
      </c>
    </row>
    <row r="109">
      <c r="A109" s="23"/>
      <c r="B109" s="23"/>
      <c r="C109" s="23"/>
      <c r="D109" s="23"/>
      <c r="E109" s="24" t="str">
        <f>IFERROR(__xludf.DUMMYFUNCTION("""COMPUTED_VALUE"""),"#N/A")</f>
        <v>#N/A</v>
      </c>
      <c r="F109" s="24" t="str">
        <f>IFERROR(__xludf.DUMMYFUNCTION("""COMPUTED_VALUE"""),"#N/A")</f>
        <v>#N/A</v>
      </c>
    </row>
    <row r="110">
      <c r="A110" s="23"/>
      <c r="B110" s="23"/>
      <c r="C110" s="23"/>
      <c r="D110" s="23"/>
      <c r="E110" s="24" t="str">
        <f>IFERROR(__xludf.DUMMYFUNCTION("""COMPUTED_VALUE"""),"#N/A")</f>
        <v>#N/A</v>
      </c>
      <c r="F110" s="24" t="str">
        <f>IFERROR(__xludf.DUMMYFUNCTION("""COMPUTED_VALUE"""),"#N/A")</f>
        <v>#N/A</v>
      </c>
    </row>
    <row r="111">
      <c r="A111" s="23"/>
      <c r="B111" s="23"/>
      <c r="C111" s="23"/>
      <c r="D111" s="23"/>
      <c r="E111" s="24" t="str">
        <f>IFERROR(__xludf.DUMMYFUNCTION("""COMPUTED_VALUE"""),"#N/A")</f>
        <v>#N/A</v>
      </c>
      <c r="F111" s="24" t="str">
        <f>IFERROR(__xludf.DUMMYFUNCTION("""COMPUTED_VALUE"""),"#N/A")</f>
        <v>#N/A</v>
      </c>
    </row>
    <row r="112">
      <c r="A112" s="23"/>
      <c r="B112" s="23"/>
      <c r="C112" s="23"/>
      <c r="D112" s="23"/>
      <c r="E112" s="24" t="str">
        <f>IFERROR(__xludf.DUMMYFUNCTION("""COMPUTED_VALUE"""),"#N/A")</f>
        <v>#N/A</v>
      </c>
      <c r="F112" s="24" t="str">
        <f>IFERROR(__xludf.DUMMYFUNCTION("""COMPUTED_VALUE"""),"#N/A")</f>
        <v>#N/A</v>
      </c>
    </row>
    <row r="113">
      <c r="A113" s="23"/>
      <c r="B113" s="23"/>
      <c r="C113" s="23"/>
      <c r="D113" s="23"/>
      <c r="E113" s="24" t="str">
        <f>IFERROR(__xludf.DUMMYFUNCTION("""COMPUTED_VALUE"""),"#N/A")</f>
        <v>#N/A</v>
      </c>
      <c r="F113" s="24" t="str">
        <f>IFERROR(__xludf.DUMMYFUNCTION("""COMPUTED_VALUE"""),"#N/A")</f>
        <v>#N/A</v>
      </c>
    </row>
    <row r="114">
      <c r="A114" s="23"/>
      <c r="B114" s="23"/>
      <c r="C114" s="23"/>
      <c r="D114" s="23"/>
      <c r="E114" s="24" t="str">
        <f>IFERROR(__xludf.DUMMYFUNCTION("""COMPUTED_VALUE"""),"#N/A")</f>
        <v>#N/A</v>
      </c>
      <c r="F114" s="24" t="str">
        <f>IFERROR(__xludf.DUMMYFUNCTION("""COMPUTED_VALUE"""),"#N/A")</f>
        <v>#N/A</v>
      </c>
    </row>
    <row r="115">
      <c r="A115" s="23"/>
      <c r="B115" s="23"/>
      <c r="C115" s="23"/>
      <c r="D115" s="23"/>
      <c r="E115" s="24" t="str">
        <f>IFERROR(__xludf.DUMMYFUNCTION("""COMPUTED_VALUE"""),"#N/A")</f>
        <v>#N/A</v>
      </c>
      <c r="F115" s="24" t="str">
        <f>IFERROR(__xludf.DUMMYFUNCTION("""COMPUTED_VALUE"""),"#N/A")</f>
        <v>#N/A</v>
      </c>
    </row>
    <row r="116">
      <c r="A116" s="23"/>
      <c r="B116" s="23"/>
      <c r="C116" s="23"/>
      <c r="D116" s="23"/>
      <c r="E116" s="24" t="str">
        <f>IFERROR(__xludf.DUMMYFUNCTION("""COMPUTED_VALUE"""),"#N/A")</f>
        <v>#N/A</v>
      </c>
      <c r="F116" s="24" t="str">
        <f>IFERROR(__xludf.DUMMYFUNCTION("""COMPUTED_VALUE"""),"#N/A")</f>
        <v>#N/A</v>
      </c>
    </row>
    <row r="117">
      <c r="A117" s="23"/>
      <c r="B117" s="23"/>
      <c r="C117" s="23"/>
      <c r="D117" s="23"/>
      <c r="E117" s="24" t="str">
        <f>IFERROR(__xludf.DUMMYFUNCTION("""COMPUTED_VALUE"""),"#N/A")</f>
        <v>#N/A</v>
      </c>
      <c r="F117" s="24" t="str">
        <f>IFERROR(__xludf.DUMMYFUNCTION("""COMPUTED_VALUE"""),"#N/A")</f>
        <v>#N/A</v>
      </c>
    </row>
    <row r="118">
      <c r="A118" s="23"/>
      <c r="B118" s="23"/>
      <c r="C118" s="23"/>
      <c r="D118" s="23"/>
      <c r="E118" s="24" t="str">
        <f>IFERROR(__xludf.DUMMYFUNCTION("""COMPUTED_VALUE"""),"#N/A")</f>
        <v>#N/A</v>
      </c>
      <c r="F118" s="24" t="str">
        <f>IFERROR(__xludf.DUMMYFUNCTION("""COMPUTED_VALUE"""),"#N/A")</f>
        <v>#N/A</v>
      </c>
    </row>
    <row r="119">
      <c r="A119" s="23"/>
      <c r="B119" s="23"/>
      <c r="C119" s="23"/>
      <c r="D119" s="23"/>
      <c r="E119" s="24" t="str">
        <f>IFERROR(__xludf.DUMMYFUNCTION("""COMPUTED_VALUE"""),"#N/A")</f>
        <v>#N/A</v>
      </c>
      <c r="F119" s="24" t="str">
        <f>IFERROR(__xludf.DUMMYFUNCTION("""COMPUTED_VALUE"""),"#N/A")</f>
        <v>#N/A</v>
      </c>
    </row>
    <row r="120">
      <c r="A120" s="23"/>
      <c r="B120" s="23"/>
      <c r="C120" s="23"/>
      <c r="D120" s="23"/>
      <c r="E120" s="24" t="str">
        <f>IFERROR(__xludf.DUMMYFUNCTION("""COMPUTED_VALUE"""),"#N/A")</f>
        <v>#N/A</v>
      </c>
      <c r="F120" s="24" t="str">
        <f>IFERROR(__xludf.DUMMYFUNCTION("""COMPUTED_VALUE"""),"#N/A")</f>
        <v>#N/A</v>
      </c>
    </row>
    <row r="121">
      <c r="A121" s="23"/>
      <c r="B121" s="23"/>
      <c r="C121" s="23"/>
      <c r="D121" s="23"/>
      <c r="E121" s="24" t="str">
        <f>IFERROR(__xludf.DUMMYFUNCTION("""COMPUTED_VALUE"""),"#N/A")</f>
        <v>#N/A</v>
      </c>
      <c r="F121" s="24" t="str">
        <f>IFERROR(__xludf.DUMMYFUNCTION("""COMPUTED_VALUE"""),"#N/A")</f>
        <v>#N/A</v>
      </c>
    </row>
    <row r="122">
      <c r="A122" s="23"/>
      <c r="B122" s="23"/>
      <c r="C122" s="23"/>
      <c r="D122" s="23"/>
      <c r="E122" s="24" t="str">
        <f>IFERROR(__xludf.DUMMYFUNCTION("""COMPUTED_VALUE"""),"#N/A")</f>
        <v>#N/A</v>
      </c>
      <c r="F122" s="24" t="str">
        <f>IFERROR(__xludf.DUMMYFUNCTION("""COMPUTED_VALUE"""),"#N/A")</f>
        <v>#N/A</v>
      </c>
    </row>
    <row r="123">
      <c r="A123" s="23"/>
      <c r="B123" s="23"/>
      <c r="C123" s="23"/>
      <c r="D123" s="23"/>
      <c r="E123" s="24" t="str">
        <f>IFERROR(__xludf.DUMMYFUNCTION("""COMPUTED_VALUE"""),"#N/A")</f>
        <v>#N/A</v>
      </c>
      <c r="F123" s="24" t="str">
        <f>IFERROR(__xludf.DUMMYFUNCTION("""COMPUTED_VALUE"""),"#N/A")</f>
        <v>#N/A</v>
      </c>
    </row>
    <row r="124">
      <c r="A124" s="23"/>
      <c r="B124" s="23"/>
      <c r="C124" s="23"/>
      <c r="D124" s="23"/>
      <c r="E124" s="24" t="str">
        <f>IFERROR(__xludf.DUMMYFUNCTION("""COMPUTED_VALUE"""),"#N/A")</f>
        <v>#N/A</v>
      </c>
      <c r="F124" s="24" t="str">
        <f>IFERROR(__xludf.DUMMYFUNCTION("""COMPUTED_VALUE"""),"#N/A")</f>
        <v>#N/A</v>
      </c>
    </row>
    <row r="125">
      <c r="A125" s="23"/>
      <c r="B125" s="23"/>
      <c r="C125" s="23"/>
      <c r="D125" s="23"/>
      <c r="E125" s="24" t="str">
        <f>IFERROR(__xludf.DUMMYFUNCTION("""COMPUTED_VALUE"""),"#N/A")</f>
        <v>#N/A</v>
      </c>
      <c r="F125" s="24" t="str">
        <f>IFERROR(__xludf.DUMMYFUNCTION("""COMPUTED_VALUE"""),"#N/A")</f>
        <v>#N/A</v>
      </c>
    </row>
    <row r="126">
      <c r="A126" s="23"/>
      <c r="B126" s="23"/>
      <c r="C126" s="23"/>
      <c r="D126" s="23"/>
      <c r="E126" s="24" t="str">
        <f>IFERROR(__xludf.DUMMYFUNCTION("""COMPUTED_VALUE"""),"#N/A")</f>
        <v>#N/A</v>
      </c>
      <c r="F126" s="24" t="str">
        <f>IFERROR(__xludf.DUMMYFUNCTION("""COMPUTED_VALUE"""),"#N/A")</f>
        <v>#N/A</v>
      </c>
    </row>
    <row r="127">
      <c r="A127" s="23"/>
      <c r="B127" s="23"/>
      <c r="C127" s="23"/>
      <c r="D127" s="23"/>
      <c r="E127" s="24" t="str">
        <f>IFERROR(__xludf.DUMMYFUNCTION("""COMPUTED_VALUE"""),"#N/A")</f>
        <v>#N/A</v>
      </c>
      <c r="F127" s="24" t="str">
        <f>IFERROR(__xludf.DUMMYFUNCTION("""COMPUTED_VALUE"""),"#N/A")</f>
        <v>#N/A</v>
      </c>
    </row>
    <row r="128">
      <c r="A128" s="23"/>
      <c r="B128" s="23"/>
      <c r="C128" s="23"/>
      <c r="D128" s="23"/>
      <c r="E128" s="24" t="str">
        <f>IFERROR(__xludf.DUMMYFUNCTION("""COMPUTED_VALUE"""),"#N/A")</f>
        <v>#N/A</v>
      </c>
      <c r="F128" s="24" t="str">
        <f>IFERROR(__xludf.DUMMYFUNCTION("""COMPUTED_VALUE"""),"#N/A")</f>
        <v>#N/A</v>
      </c>
    </row>
    <row r="129">
      <c r="A129" s="23"/>
      <c r="B129" s="23"/>
      <c r="C129" s="23"/>
      <c r="D129" s="23"/>
      <c r="E129" s="24" t="str">
        <f>IFERROR(__xludf.DUMMYFUNCTION("""COMPUTED_VALUE"""),"#N/A")</f>
        <v>#N/A</v>
      </c>
      <c r="F129" s="24" t="str">
        <f>IFERROR(__xludf.DUMMYFUNCTION("""COMPUTED_VALUE"""),"#N/A")</f>
        <v>#N/A</v>
      </c>
    </row>
    <row r="130">
      <c r="A130" s="23"/>
      <c r="B130" s="23"/>
      <c r="C130" s="23"/>
      <c r="D130" s="23"/>
      <c r="E130" s="24" t="str">
        <f>IFERROR(__xludf.DUMMYFUNCTION("""COMPUTED_VALUE"""),"#N/A")</f>
        <v>#N/A</v>
      </c>
      <c r="F130" s="24" t="str">
        <f>IFERROR(__xludf.DUMMYFUNCTION("""COMPUTED_VALUE"""),"#N/A")</f>
        <v>#N/A</v>
      </c>
    </row>
    <row r="131">
      <c r="A131" s="23"/>
      <c r="B131" s="23"/>
      <c r="C131" s="23"/>
      <c r="D131" s="23"/>
      <c r="E131" s="24" t="str">
        <f>IFERROR(__xludf.DUMMYFUNCTION("""COMPUTED_VALUE"""),"#N/A")</f>
        <v>#N/A</v>
      </c>
      <c r="F131" s="24" t="str">
        <f>IFERROR(__xludf.DUMMYFUNCTION("""COMPUTED_VALUE"""),"#N/A")</f>
        <v>#N/A</v>
      </c>
    </row>
    <row r="132">
      <c r="A132" s="23"/>
      <c r="B132" s="23"/>
      <c r="C132" s="23"/>
      <c r="D132" s="23"/>
      <c r="E132" s="24" t="str">
        <f>IFERROR(__xludf.DUMMYFUNCTION("""COMPUTED_VALUE"""),"#N/A")</f>
        <v>#N/A</v>
      </c>
      <c r="F132" s="24" t="str">
        <f>IFERROR(__xludf.DUMMYFUNCTION("""COMPUTED_VALUE"""),"#N/A")</f>
        <v>#N/A</v>
      </c>
    </row>
    <row r="133">
      <c r="A133" s="23"/>
      <c r="B133" s="23"/>
      <c r="C133" s="23"/>
      <c r="D133" s="23"/>
      <c r="E133" s="24" t="str">
        <f>IFERROR(__xludf.DUMMYFUNCTION("""COMPUTED_VALUE"""),"#N/A")</f>
        <v>#N/A</v>
      </c>
      <c r="F133" s="24" t="str">
        <f>IFERROR(__xludf.DUMMYFUNCTION("""COMPUTED_VALUE"""),"#N/A")</f>
        <v>#N/A</v>
      </c>
    </row>
    <row r="134">
      <c r="A134" s="23"/>
      <c r="B134" s="23"/>
      <c r="C134" s="23"/>
      <c r="D134" s="23"/>
      <c r="E134" s="24" t="str">
        <f>IFERROR(__xludf.DUMMYFUNCTION("""COMPUTED_VALUE"""),"#N/A")</f>
        <v>#N/A</v>
      </c>
      <c r="F134" s="24" t="str">
        <f>IFERROR(__xludf.DUMMYFUNCTION("""COMPUTED_VALUE"""),"#N/A")</f>
        <v>#N/A</v>
      </c>
    </row>
    <row r="135">
      <c r="A135" s="23"/>
      <c r="B135" s="23"/>
      <c r="C135" s="23"/>
      <c r="D135" s="23"/>
      <c r="E135" s="24" t="str">
        <f>IFERROR(__xludf.DUMMYFUNCTION("""COMPUTED_VALUE"""),"#N/A")</f>
        <v>#N/A</v>
      </c>
      <c r="F135" s="24" t="str">
        <f>IFERROR(__xludf.DUMMYFUNCTION("""COMPUTED_VALUE"""),"#N/A")</f>
        <v>#N/A</v>
      </c>
    </row>
    <row r="136">
      <c r="A136" s="23"/>
      <c r="B136" s="23"/>
      <c r="C136" s="23"/>
      <c r="D136" s="23"/>
      <c r="E136" s="24" t="str">
        <f>IFERROR(__xludf.DUMMYFUNCTION("""COMPUTED_VALUE"""),"#N/A")</f>
        <v>#N/A</v>
      </c>
      <c r="F136" s="24" t="str">
        <f>IFERROR(__xludf.DUMMYFUNCTION("""COMPUTED_VALUE"""),"#N/A")</f>
        <v>#N/A</v>
      </c>
    </row>
    <row r="137">
      <c r="A137" s="23"/>
      <c r="B137" s="23"/>
      <c r="C137" s="23"/>
      <c r="D137" s="23"/>
      <c r="E137" s="24" t="str">
        <f>IFERROR(__xludf.DUMMYFUNCTION("""COMPUTED_VALUE"""),"#N/A")</f>
        <v>#N/A</v>
      </c>
      <c r="F137" s="24" t="str">
        <f>IFERROR(__xludf.DUMMYFUNCTION("""COMPUTED_VALUE"""),"#N/A")</f>
        <v>#N/A</v>
      </c>
    </row>
    <row r="138">
      <c r="A138" s="23"/>
      <c r="B138" s="23"/>
      <c r="C138" s="23"/>
      <c r="D138" s="23"/>
      <c r="E138" s="24" t="str">
        <f>IFERROR(__xludf.DUMMYFUNCTION("""COMPUTED_VALUE"""),"#N/A")</f>
        <v>#N/A</v>
      </c>
      <c r="F138" s="24" t="str">
        <f>IFERROR(__xludf.DUMMYFUNCTION("""COMPUTED_VALUE"""),"#N/A")</f>
        <v>#N/A</v>
      </c>
    </row>
    <row r="139">
      <c r="A139" s="23"/>
      <c r="B139" s="23"/>
      <c r="C139" s="23"/>
      <c r="D139" s="23"/>
      <c r="E139" s="24" t="str">
        <f>IFERROR(__xludf.DUMMYFUNCTION("""COMPUTED_VALUE"""),"#N/A")</f>
        <v>#N/A</v>
      </c>
      <c r="F139" s="24" t="str">
        <f>IFERROR(__xludf.DUMMYFUNCTION("""COMPUTED_VALUE"""),"#N/A")</f>
        <v>#N/A</v>
      </c>
    </row>
    <row r="140">
      <c r="A140" s="23"/>
      <c r="B140" s="23"/>
      <c r="C140" s="23"/>
      <c r="D140" s="23"/>
      <c r="E140" s="24" t="str">
        <f>IFERROR(__xludf.DUMMYFUNCTION("""COMPUTED_VALUE"""),"#N/A")</f>
        <v>#N/A</v>
      </c>
      <c r="F140" s="24" t="str">
        <f>IFERROR(__xludf.DUMMYFUNCTION("""COMPUTED_VALUE"""),"#N/A")</f>
        <v>#N/A</v>
      </c>
    </row>
    <row r="141">
      <c r="A141" s="23"/>
      <c r="B141" s="23"/>
      <c r="C141" s="23"/>
      <c r="D141" s="23"/>
      <c r="E141" s="24" t="str">
        <f>IFERROR(__xludf.DUMMYFUNCTION("""COMPUTED_VALUE"""),"#N/A")</f>
        <v>#N/A</v>
      </c>
      <c r="F141" s="24" t="str">
        <f>IFERROR(__xludf.DUMMYFUNCTION("""COMPUTED_VALUE"""),"#N/A")</f>
        <v>#N/A</v>
      </c>
    </row>
    <row r="142">
      <c r="A142" s="23"/>
      <c r="B142" s="23"/>
      <c r="C142" s="23"/>
      <c r="D142" s="23"/>
      <c r="E142" s="24" t="str">
        <f>IFERROR(__xludf.DUMMYFUNCTION("""COMPUTED_VALUE"""),"#N/A")</f>
        <v>#N/A</v>
      </c>
      <c r="F142" s="24" t="str">
        <f>IFERROR(__xludf.DUMMYFUNCTION("""COMPUTED_VALUE"""),"#N/A")</f>
        <v>#N/A</v>
      </c>
    </row>
    <row r="143">
      <c r="A143" s="23"/>
      <c r="B143" s="23"/>
      <c r="C143" s="23"/>
      <c r="D143" s="23"/>
      <c r="E143" s="24" t="str">
        <f>IFERROR(__xludf.DUMMYFUNCTION("""COMPUTED_VALUE"""),"#N/A")</f>
        <v>#N/A</v>
      </c>
      <c r="F143" s="24" t="str">
        <f>IFERROR(__xludf.DUMMYFUNCTION("""COMPUTED_VALUE"""),"#N/A")</f>
        <v>#N/A</v>
      </c>
    </row>
    <row r="144">
      <c r="A144" s="23"/>
      <c r="B144" s="23"/>
      <c r="C144" s="23"/>
      <c r="D144" s="23"/>
      <c r="E144" s="24" t="str">
        <f>IFERROR(__xludf.DUMMYFUNCTION("""COMPUTED_VALUE"""),"#N/A")</f>
        <v>#N/A</v>
      </c>
      <c r="F144" s="24" t="str">
        <f>IFERROR(__xludf.DUMMYFUNCTION("""COMPUTED_VALUE"""),"#N/A")</f>
        <v>#N/A</v>
      </c>
    </row>
    <row r="145">
      <c r="A145" s="23"/>
      <c r="B145" s="23"/>
      <c r="C145" s="23"/>
      <c r="D145" s="23"/>
      <c r="E145" s="24" t="str">
        <f>IFERROR(__xludf.DUMMYFUNCTION("""COMPUTED_VALUE"""),"#N/A")</f>
        <v>#N/A</v>
      </c>
      <c r="F145" s="24" t="str">
        <f>IFERROR(__xludf.DUMMYFUNCTION("""COMPUTED_VALUE"""),"#N/A")</f>
        <v>#N/A</v>
      </c>
    </row>
    <row r="146">
      <c r="A146" s="23"/>
      <c r="B146" s="23"/>
      <c r="C146" s="23"/>
      <c r="D146" s="23"/>
      <c r="E146" s="24" t="str">
        <f>IFERROR(__xludf.DUMMYFUNCTION("""COMPUTED_VALUE"""),"#N/A")</f>
        <v>#N/A</v>
      </c>
      <c r="F146" s="24" t="str">
        <f>IFERROR(__xludf.DUMMYFUNCTION("""COMPUTED_VALUE"""),"#N/A")</f>
        <v>#N/A</v>
      </c>
    </row>
    <row r="147">
      <c r="A147" s="23"/>
      <c r="B147" s="23"/>
      <c r="C147" s="23"/>
      <c r="D147" s="23"/>
      <c r="E147" s="24" t="str">
        <f>IFERROR(__xludf.DUMMYFUNCTION("""COMPUTED_VALUE"""),"#N/A")</f>
        <v>#N/A</v>
      </c>
      <c r="F147" s="24" t="str">
        <f>IFERROR(__xludf.DUMMYFUNCTION("""COMPUTED_VALUE"""),"#N/A")</f>
        <v>#N/A</v>
      </c>
    </row>
    <row r="148">
      <c r="A148" s="23"/>
      <c r="B148" s="23"/>
      <c r="C148" s="23"/>
      <c r="D148" s="23"/>
      <c r="E148" s="24" t="str">
        <f>IFERROR(__xludf.DUMMYFUNCTION("""COMPUTED_VALUE"""),"#N/A")</f>
        <v>#N/A</v>
      </c>
      <c r="F148" s="24" t="str">
        <f>IFERROR(__xludf.DUMMYFUNCTION("""COMPUTED_VALUE"""),"#N/A")</f>
        <v>#N/A</v>
      </c>
    </row>
    <row r="149">
      <c r="A149" s="23"/>
      <c r="B149" s="23"/>
      <c r="C149" s="23"/>
      <c r="D149" s="23"/>
      <c r="E149" s="24" t="str">
        <f>IFERROR(__xludf.DUMMYFUNCTION("""COMPUTED_VALUE"""),"#N/A")</f>
        <v>#N/A</v>
      </c>
      <c r="F149" s="24" t="str">
        <f>IFERROR(__xludf.DUMMYFUNCTION("""COMPUTED_VALUE"""),"#N/A")</f>
        <v>#N/A</v>
      </c>
    </row>
    <row r="150">
      <c r="A150" s="23"/>
      <c r="B150" s="23"/>
      <c r="C150" s="23"/>
      <c r="D150" s="23"/>
      <c r="E150" s="24" t="str">
        <f>IFERROR(__xludf.DUMMYFUNCTION("""COMPUTED_VALUE"""),"#N/A")</f>
        <v>#N/A</v>
      </c>
      <c r="F150" s="24" t="str">
        <f>IFERROR(__xludf.DUMMYFUNCTION("""COMPUTED_VALUE"""),"#N/A")</f>
        <v>#N/A</v>
      </c>
    </row>
    <row r="151">
      <c r="A151" s="23"/>
      <c r="B151" s="23"/>
      <c r="C151" s="23"/>
      <c r="D151" s="23"/>
      <c r="E151" s="24" t="str">
        <f>IFERROR(__xludf.DUMMYFUNCTION("""COMPUTED_VALUE"""),"#N/A")</f>
        <v>#N/A</v>
      </c>
      <c r="F151" s="24" t="str">
        <f>IFERROR(__xludf.DUMMYFUNCTION("""COMPUTED_VALUE"""),"#N/A")</f>
        <v>#N/A</v>
      </c>
    </row>
    <row r="152">
      <c r="A152" s="23"/>
      <c r="B152" s="23"/>
      <c r="C152" s="23"/>
      <c r="D152" s="23"/>
      <c r="E152" s="24" t="str">
        <f>IFERROR(__xludf.DUMMYFUNCTION("""COMPUTED_VALUE"""),"#N/A")</f>
        <v>#N/A</v>
      </c>
      <c r="F152" s="24" t="str">
        <f>IFERROR(__xludf.DUMMYFUNCTION("""COMPUTED_VALUE"""),"#N/A")</f>
        <v>#N/A</v>
      </c>
    </row>
    <row r="153">
      <c r="A153" s="23"/>
      <c r="B153" s="23"/>
      <c r="C153" s="23"/>
      <c r="D153" s="23"/>
      <c r="E153" s="24" t="str">
        <f>IFERROR(__xludf.DUMMYFUNCTION("""COMPUTED_VALUE"""),"#N/A")</f>
        <v>#N/A</v>
      </c>
      <c r="F153" s="24" t="str">
        <f>IFERROR(__xludf.DUMMYFUNCTION("""COMPUTED_VALUE"""),"#N/A")</f>
        <v>#N/A</v>
      </c>
    </row>
    <row r="154">
      <c r="A154" s="23"/>
      <c r="B154" s="23"/>
      <c r="C154" s="23"/>
      <c r="D154" s="23"/>
      <c r="E154" s="24" t="str">
        <f>IFERROR(__xludf.DUMMYFUNCTION("""COMPUTED_VALUE"""),"#N/A")</f>
        <v>#N/A</v>
      </c>
      <c r="F154" s="24" t="str">
        <f>IFERROR(__xludf.DUMMYFUNCTION("""COMPUTED_VALUE"""),"#N/A")</f>
        <v>#N/A</v>
      </c>
    </row>
    <row r="155">
      <c r="A155" s="23"/>
      <c r="B155" s="23"/>
      <c r="C155" s="23"/>
      <c r="D155" s="23"/>
      <c r="E155" s="24" t="str">
        <f>IFERROR(__xludf.DUMMYFUNCTION("""COMPUTED_VALUE"""),"#N/A")</f>
        <v>#N/A</v>
      </c>
      <c r="F155" s="24" t="str">
        <f>IFERROR(__xludf.DUMMYFUNCTION("""COMPUTED_VALUE"""),"#N/A")</f>
        <v>#N/A</v>
      </c>
    </row>
    <row r="156">
      <c r="A156" s="23"/>
      <c r="B156" s="23"/>
      <c r="C156" s="23"/>
      <c r="D156" s="23"/>
      <c r="E156" s="24" t="str">
        <f>IFERROR(__xludf.DUMMYFUNCTION("""COMPUTED_VALUE"""),"#N/A")</f>
        <v>#N/A</v>
      </c>
      <c r="F156" s="24" t="str">
        <f>IFERROR(__xludf.DUMMYFUNCTION("""COMPUTED_VALUE"""),"#N/A")</f>
        <v>#N/A</v>
      </c>
    </row>
    <row r="157">
      <c r="A157" s="23"/>
      <c r="B157" s="23"/>
      <c r="C157" s="23"/>
      <c r="D157" s="23"/>
      <c r="E157" s="24" t="str">
        <f>IFERROR(__xludf.DUMMYFUNCTION("""COMPUTED_VALUE"""),"#N/A")</f>
        <v>#N/A</v>
      </c>
      <c r="F157" s="24" t="str">
        <f>IFERROR(__xludf.DUMMYFUNCTION("""COMPUTED_VALUE"""),"#N/A")</f>
        <v>#N/A</v>
      </c>
    </row>
    <row r="158">
      <c r="A158" s="23"/>
      <c r="B158" s="23"/>
      <c r="C158" s="23"/>
      <c r="D158" s="23"/>
      <c r="E158" s="24" t="str">
        <f>IFERROR(__xludf.DUMMYFUNCTION("""COMPUTED_VALUE"""),"#N/A")</f>
        <v>#N/A</v>
      </c>
      <c r="F158" s="24" t="str">
        <f>IFERROR(__xludf.DUMMYFUNCTION("""COMPUTED_VALUE"""),"#N/A")</f>
        <v>#N/A</v>
      </c>
    </row>
    <row r="159">
      <c r="A159" s="23"/>
      <c r="B159" s="23"/>
      <c r="C159" s="23"/>
      <c r="D159" s="23"/>
      <c r="E159" s="24" t="str">
        <f>IFERROR(__xludf.DUMMYFUNCTION("""COMPUTED_VALUE"""),"#N/A")</f>
        <v>#N/A</v>
      </c>
      <c r="F159" s="24" t="str">
        <f>IFERROR(__xludf.DUMMYFUNCTION("""COMPUTED_VALUE"""),"#N/A")</f>
        <v>#N/A</v>
      </c>
    </row>
    <row r="160">
      <c r="A160" s="23"/>
      <c r="B160" s="23"/>
      <c r="C160" s="23"/>
      <c r="D160" s="23"/>
      <c r="E160" s="24" t="str">
        <f>IFERROR(__xludf.DUMMYFUNCTION("""COMPUTED_VALUE"""),"#N/A")</f>
        <v>#N/A</v>
      </c>
      <c r="F160" s="24" t="str">
        <f>IFERROR(__xludf.DUMMYFUNCTION("""COMPUTED_VALUE"""),"#N/A")</f>
        <v>#N/A</v>
      </c>
    </row>
    <row r="161">
      <c r="A161" s="23"/>
      <c r="B161" s="23"/>
      <c r="C161" s="23"/>
      <c r="D161" s="23"/>
      <c r="E161" s="24" t="str">
        <f>IFERROR(__xludf.DUMMYFUNCTION("""COMPUTED_VALUE"""),"#N/A")</f>
        <v>#N/A</v>
      </c>
      <c r="F161" s="24" t="str">
        <f>IFERROR(__xludf.DUMMYFUNCTION("""COMPUTED_VALUE"""),"#N/A")</f>
        <v>#N/A</v>
      </c>
    </row>
    <row r="162">
      <c r="A162" s="23"/>
      <c r="B162" s="23"/>
      <c r="C162" s="23"/>
      <c r="D162" s="23"/>
      <c r="E162" s="24" t="str">
        <f>IFERROR(__xludf.DUMMYFUNCTION("""COMPUTED_VALUE"""),"#N/A")</f>
        <v>#N/A</v>
      </c>
      <c r="F162" s="24" t="str">
        <f>IFERROR(__xludf.DUMMYFUNCTION("""COMPUTED_VALUE"""),"#N/A")</f>
        <v>#N/A</v>
      </c>
    </row>
    <row r="163">
      <c r="A163" s="23"/>
      <c r="B163" s="23"/>
      <c r="C163" s="23"/>
      <c r="D163" s="23"/>
      <c r="E163" s="24" t="str">
        <f>IFERROR(__xludf.DUMMYFUNCTION("""COMPUTED_VALUE"""),"#N/A")</f>
        <v>#N/A</v>
      </c>
      <c r="F163" s="24" t="str">
        <f>IFERROR(__xludf.DUMMYFUNCTION("""COMPUTED_VALUE"""),"#N/A")</f>
        <v>#N/A</v>
      </c>
    </row>
    <row r="164">
      <c r="A164" s="23"/>
      <c r="B164" s="23"/>
      <c r="C164" s="23"/>
      <c r="D164" s="23"/>
      <c r="E164" s="24" t="str">
        <f>IFERROR(__xludf.DUMMYFUNCTION("""COMPUTED_VALUE"""),"#N/A")</f>
        <v>#N/A</v>
      </c>
      <c r="F164" s="24" t="str">
        <f>IFERROR(__xludf.DUMMYFUNCTION("""COMPUTED_VALUE"""),"#N/A")</f>
        <v>#N/A</v>
      </c>
    </row>
    <row r="165">
      <c r="A165" s="23"/>
      <c r="B165" s="23"/>
      <c r="C165" s="23"/>
      <c r="D165" s="23"/>
      <c r="E165" s="24" t="str">
        <f>IFERROR(__xludf.DUMMYFUNCTION("""COMPUTED_VALUE"""),"#N/A")</f>
        <v>#N/A</v>
      </c>
      <c r="F165" s="24" t="str">
        <f>IFERROR(__xludf.DUMMYFUNCTION("""COMPUTED_VALUE"""),"#N/A")</f>
        <v>#N/A</v>
      </c>
    </row>
    <row r="166">
      <c r="A166" s="23"/>
      <c r="B166" s="23"/>
      <c r="C166" s="23"/>
      <c r="D166" s="23"/>
      <c r="E166" s="24" t="str">
        <f>IFERROR(__xludf.DUMMYFUNCTION("""COMPUTED_VALUE"""),"#N/A")</f>
        <v>#N/A</v>
      </c>
      <c r="F166" s="24" t="str">
        <f>IFERROR(__xludf.DUMMYFUNCTION("""COMPUTED_VALUE"""),"#N/A")</f>
        <v>#N/A</v>
      </c>
    </row>
    <row r="167">
      <c r="A167" s="23"/>
      <c r="B167" s="23"/>
      <c r="C167" s="23"/>
      <c r="D167" s="23"/>
      <c r="E167" s="24" t="str">
        <f>IFERROR(__xludf.DUMMYFUNCTION("""COMPUTED_VALUE"""),"#N/A")</f>
        <v>#N/A</v>
      </c>
      <c r="F167" s="24" t="str">
        <f>IFERROR(__xludf.DUMMYFUNCTION("""COMPUTED_VALUE"""),"#N/A")</f>
        <v>#N/A</v>
      </c>
    </row>
    <row r="168">
      <c r="A168" s="23"/>
      <c r="B168" s="23"/>
      <c r="C168" s="23"/>
      <c r="D168" s="23"/>
      <c r="E168" s="24" t="str">
        <f>IFERROR(__xludf.DUMMYFUNCTION("""COMPUTED_VALUE"""),"#N/A")</f>
        <v>#N/A</v>
      </c>
      <c r="F168" s="24" t="str">
        <f>IFERROR(__xludf.DUMMYFUNCTION("""COMPUTED_VALUE"""),"#N/A")</f>
        <v>#N/A</v>
      </c>
    </row>
    <row r="169">
      <c r="A169" s="23"/>
      <c r="B169" s="23"/>
      <c r="C169" s="23"/>
      <c r="D169" s="23"/>
      <c r="E169" s="24" t="str">
        <f>IFERROR(__xludf.DUMMYFUNCTION("""COMPUTED_VALUE"""),"#N/A")</f>
        <v>#N/A</v>
      </c>
      <c r="F169" s="24" t="str">
        <f>IFERROR(__xludf.DUMMYFUNCTION("""COMPUTED_VALUE"""),"#N/A")</f>
        <v>#N/A</v>
      </c>
    </row>
    <row r="170">
      <c r="A170" s="23"/>
      <c r="B170" s="23"/>
      <c r="C170" s="23"/>
      <c r="D170" s="23"/>
      <c r="E170" s="24" t="str">
        <f>IFERROR(__xludf.DUMMYFUNCTION("""COMPUTED_VALUE"""),"#N/A")</f>
        <v>#N/A</v>
      </c>
      <c r="F170" s="24" t="str">
        <f>IFERROR(__xludf.DUMMYFUNCTION("""COMPUTED_VALUE"""),"#N/A")</f>
        <v>#N/A</v>
      </c>
    </row>
    <row r="171">
      <c r="A171" s="23"/>
      <c r="B171" s="23"/>
      <c r="C171" s="23"/>
      <c r="D171" s="23"/>
      <c r="E171" s="24" t="str">
        <f>IFERROR(__xludf.DUMMYFUNCTION("""COMPUTED_VALUE"""),"#N/A")</f>
        <v>#N/A</v>
      </c>
      <c r="F171" s="24" t="str">
        <f>IFERROR(__xludf.DUMMYFUNCTION("""COMPUTED_VALUE"""),"#N/A")</f>
        <v>#N/A</v>
      </c>
    </row>
    <row r="172">
      <c r="A172" s="23"/>
      <c r="B172" s="23"/>
      <c r="C172" s="23"/>
      <c r="D172" s="23"/>
      <c r="E172" s="24" t="str">
        <f>IFERROR(__xludf.DUMMYFUNCTION("""COMPUTED_VALUE"""),"#N/A")</f>
        <v>#N/A</v>
      </c>
      <c r="F172" s="24" t="str">
        <f>IFERROR(__xludf.DUMMYFUNCTION("""COMPUTED_VALUE"""),"#N/A")</f>
        <v>#N/A</v>
      </c>
    </row>
    <row r="173">
      <c r="A173" s="23"/>
      <c r="B173" s="23"/>
      <c r="C173" s="23"/>
      <c r="D173" s="23"/>
      <c r="E173" s="24" t="str">
        <f>IFERROR(__xludf.DUMMYFUNCTION("""COMPUTED_VALUE"""),"#N/A")</f>
        <v>#N/A</v>
      </c>
      <c r="F173" s="24" t="str">
        <f>IFERROR(__xludf.DUMMYFUNCTION("""COMPUTED_VALUE"""),"#N/A")</f>
        <v>#N/A</v>
      </c>
    </row>
    <row r="174">
      <c r="A174" s="23"/>
      <c r="B174" s="23"/>
      <c r="C174" s="23"/>
      <c r="D174" s="23"/>
      <c r="E174" s="24" t="str">
        <f>IFERROR(__xludf.DUMMYFUNCTION("""COMPUTED_VALUE"""),"#N/A")</f>
        <v>#N/A</v>
      </c>
      <c r="F174" s="24" t="str">
        <f>IFERROR(__xludf.DUMMYFUNCTION("""COMPUTED_VALUE"""),"#N/A")</f>
        <v>#N/A</v>
      </c>
    </row>
    <row r="175">
      <c r="A175" s="23"/>
      <c r="B175" s="23"/>
      <c r="C175" s="23"/>
      <c r="D175" s="23"/>
      <c r="E175" s="24" t="str">
        <f>IFERROR(__xludf.DUMMYFUNCTION("""COMPUTED_VALUE"""),"#N/A")</f>
        <v>#N/A</v>
      </c>
      <c r="F175" s="24" t="str">
        <f>IFERROR(__xludf.DUMMYFUNCTION("""COMPUTED_VALUE"""),"#N/A")</f>
        <v>#N/A</v>
      </c>
    </row>
    <row r="176">
      <c r="A176" s="23"/>
      <c r="B176" s="23"/>
      <c r="C176" s="23"/>
      <c r="D176" s="23"/>
      <c r="E176" s="24" t="str">
        <f>IFERROR(__xludf.DUMMYFUNCTION("""COMPUTED_VALUE"""),"#N/A")</f>
        <v>#N/A</v>
      </c>
      <c r="F176" s="24" t="str">
        <f>IFERROR(__xludf.DUMMYFUNCTION("""COMPUTED_VALUE"""),"#N/A")</f>
        <v>#N/A</v>
      </c>
    </row>
    <row r="177">
      <c r="A177" s="23"/>
      <c r="B177" s="23"/>
      <c r="C177" s="23"/>
      <c r="D177" s="23"/>
      <c r="E177" s="24" t="str">
        <f>IFERROR(__xludf.DUMMYFUNCTION("""COMPUTED_VALUE"""),"#N/A")</f>
        <v>#N/A</v>
      </c>
      <c r="F177" s="24" t="str">
        <f>IFERROR(__xludf.DUMMYFUNCTION("""COMPUTED_VALUE"""),"#N/A")</f>
        <v>#N/A</v>
      </c>
    </row>
    <row r="178">
      <c r="A178" s="23"/>
      <c r="B178" s="23"/>
      <c r="C178" s="23"/>
      <c r="D178" s="23"/>
      <c r="E178" s="24" t="str">
        <f>IFERROR(__xludf.DUMMYFUNCTION("""COMPUTED_VALUE"""),"#N/A")</f>
        <v>#N/A</v>
      </c>
      <c r="F178" s="24" t="str">
        <f>IFERROR(__xludf.DUMMYFUNCTION("""COMPUTED_VALUE"""),"#N/A")</f>
        <v>#N/A</v>
      </c>
    </row>
    <row r="179">
      <c r="A179" s="23"/>
      <c r="B179" s="23"/>
      <c r="C179" s="23"/>
      <c r="D179" s="23"/>
      <c r="E179" s="24" t="str">
        <f>IFERROR(__xludf.DUMMYFUNCTION("""COMPUTED_VALUE"""),"#N/A")</f>
        <v>#N/A</v>
      </c>
      <c r="F179" s="24" t="str">
        <f>IFERROR(__xludf.DUMMYFUNCTION("""COMPUTED_VALUE"""),"#N/A")</f>
        <v>#N/A</v>
      </c>
    </row>
    <row r="180">
      <c r="A180" s="23"/>
      <c r="B180" s="23"/>
      <c r="C180" s="23"/>
      <c r="D180" s="23"/>
      <c r="E180" s="24" t="str">
        <f>IFERROR(__xludf.DUMMYFUNCTION("""COMPUTED_VALUE"""),"#N/A")</f>
        <v>#N/A</v>
      </c>
      <c r="F180" s="24" t="str">
        <f>IFERROR(__xludf.DUMMYFUNCTION("""COMPUTED_VALUE"""),"#N/A")</f>
        <v>#N/A</v>
      </c>
    </row>
    <row r="181">
      <c r="A181" s="23"/>
      <c r="B181" s="23"/>
      <c r="C181" s="23"/>
      <c r="D181" s="23"/>
      <c r="E181" s="24" t="str">
        <f>IFERROR(__xludf.DUMMYFUNCTION("""COMPUTED_VALUE"""),"#N/A")</f>
        <v>#N/A</v>
      </c>
      <c r="F181" s="24" t="str">
        <f>IFERROR(__xludf.DUMMYFUNCTION("""COMPUTED_VALUE"""),"#N/A")</f>
        <v>#N/A</v>
      </c>
    </row>
    <row r="182">
      <c r="A182" s="23"/>
      <c r="B182" s="23"/>
      <c r="C182" s="23"/>
      <c r="D182" s="23"/>
      <c r="E182" s="24" t="str">
        <f>IFERROR(__xludf.DUMMYFUNCTION("""COMPUTED_VALUE"""),"#N/A")</f>
        <v>#N/A</v>
      </c>
      <c r="F182" s="24" t="str">
        <f>IFERROR(__xludf.DUMMYFUNCTION("""COMPUTED_VALUE"""),"#N/A")</f>
        <v>#N/A</v>
      </c>
    </row>
    <row r="183">
      <c r="A183" s="23"/>
      <c r="B183" s="23"/>
      <c r="C183" s="23"/>
      <c r="D183" s="23"/>
      <c r="E183" s="24" t="str">
        <f>IFERROR(__xludf.DUMMYFUNCTION("""COMPUTED_VALUE"""),"#N/A")</f>
        <v>#N/A</v>
      </c>
      <c r="F183" s="24" t="str">
        <f>IFERROR(__xludf.DUMMYFUNCTION("""COMPUTED_VALUE"""),"#N/A")</f>
        <v>#N/A</v>
      </c>
    </row>
    <row r="184">
      <c r="A184" s="23"/>
      <c r="B184" s="23"/>
      <c r="C184" s="23"/>
      <c r="D184" s="23"/>
      <c r="E184" s="24" t="str">
        <f>IFERROR(__xludf.DUMMYFUNCTION("""COMPUTED_VALUE"""),"#N/A")</f>
        <v>#N/A</v>
      </c>
      <c r="F184" s="24" t="str">
        <f>IFERROR(__xludf.DUMMYFUNCTION("""COMPUTED_VALUE"""),"#N/A")</f>
        <v>#N/A</v>
      </c>
    </row>
    <row r="185">
      <c r="A185" s="23"/>
      <c r="B185" s="23"/>
      <c r="C185" s="23"/>
      <c r="D185" s="23"/>
      <c r="E185" s="24" t="str">
        <f>IFERROR(__xludf.DUMMYFUNCTION("""COMPUTED_VALUE"""),"#N/A")</f>
        <v>#N/A</v>
      </c>
      <c r="F185" s="24" t="str">
        <f>IFERROR(__xludf.DUMMYFUNCTION("""COMPUTED_VALUE"""),"#N/A")</f>
        <v>#N/A</v>
      </c>
    </row>
    <row r="186">
      <c r="A186" s="23"/>
      <c r="B186" s="23"/>
      <c r="C186" s="23"/>
      <c r="D186" s="23"/>
      <c r="E186" s="24" t="str">
        <f>IFERROR(__xludf.DUMMYFUNCTION("""COMPUTED_VALUE"""),"#N/A")</f>
        <v>#N/A</v>
      </c>
      <c r="F186" s="24" t="str">
        <f>IFERROR(__xludf.DUMMYFUNCTION("""COMPUTED_VALUE"""),"#N/A")</f>
        <v>#N/A</v>
      </c>
    </row>
    <row r="187">
      <c r="A187" s="23"/>
      <c r="B187" s="23"/>
      <c r="C187" s="23"/>
      <c r="D187" s="23"/>
      <c r="E187" s="24" t="str">
        <f>IFERROR(__xludf.DUMMYFUNCTION("""COMPUTED_VALUE"""),"#N/A")</f>
        <v>#N/A</v>
      </c>
      <c r="F187" s="24" t="str">
        <f>IFERROR(__xludf.DUMMYFUNCTION("""COMPUTED_VALUE"""),"#N/A")</f>
        <v>#N/A</v>
      </c>
    </row>
    <row r="188">
      <c r="A188" s="23"/>
      <c r="B188" s="23"/>
      <c r="C188" s="23"/>
      <c r="D188" s="23"/>
      <c r="E188" s="24" t="str">
        <f>IFERROR(__xludf.DUMMYFUNCTION("""COMPUTED_VALUE"""),"#N/A")</f>
        <v>#N/A</v>
      </c>
      <c r="F188" s="24" t="str">
        <f>IFERROR(__xludf.DUMMYFUNCTION("""COMPUTED_VALUE"""),"#N/A")</f>
        <v>#N/A</v>
      </c>
    </row>
    <row r="189">
      <c r="A189" s="23"/>
      <c r="B189" s="23"/>
      <c r="C189" s="23"/>
      <c r="D189" s="23"/>
      <c r="E189" s="24" t="str">
        <f>IFERROR(__xludf.DUMMYFUNCTION("""COMPUTED_VALUE"""),"#N/A")</f>
        <v>#N/A</v>
      </c>
      <c r="F189" s="24" t="str">
        <f>IFERROR(__xludf.DUMMYFUNCTION("""COMPUTED_VALUE"""),"#N/A")</f>
        <v>#N/A</v>
      </c>
    </row>
    <row r="190">
      <c r="A190" s="23"/>
      <c r="B190" s="23"/>
      <c r="C190" s="23"/>
      <c r="D190" s="23"/>
      <c r="E190" s="24" t="str">
        <f>IFERROR(__xludf.DUMMYFUNCTION("""COMPUTED_VALUE"""),"#N/A")</f>
        <v>#N/A</v>
      </c>
      <c r="F190" s="24" t="str">
        <f>IFERROR(__xludf.DUMMYFUNCTION("""COMPUTED_VALUE"""),"#N/A")</f>
        <v>#N/A</v>
      </c>
    </row>
    <row r="191">
      <c r="A191" s="23"/>
      <c r="B191" s="23"/>
      <c r="C191" s="23"/>
      <c r="D191" s="23"/>
      <c r="E191" s="24" t="str">
        <f>IFERROR(__xludf.DUMMYFUNCTION("""COMPUTED_VALUE"""),"#N/A")</f>
        <v>#N/A</v>
      </c>
      <c r="F191" s="24" t="str">
        <f>IFERROR(__xludf.DUMMYFUNCTION("""COMPUTED_VALUE"""),"#N/A")</f>
        <v>#N/A</v>
      </c>
    </row>
    <row r="192">
      <c r="A192" s="23"/>
      <c r="B192" s="23"/>
      <c r="C192" s="23"/>
      <c r="D192" s="23"/>
      <c r="E192" s="24" t="str">
        <f>IFERROR(__xludf.DUMMYFUNCTION("""COMPUTED_VALUE"""),"#N/A")</f>
        <v>#N/A</v>
      </c>
      <c r="F192" s="24" t="str">
        <f>IFERROR(__xludf.DUMMYFUNCTION("""COMPUTED_VALUE"""),"#N/A")</f>
        <v>#N/A</v>
      </c>
    </row>
    <row r="193">
      <c r="A193" s="23"/>
      <c r="B193" s="23"/>
      <c r="C193" s="23"/>
      <c r="D193" s="23"/>
      <c r="E193" s="24" t="str">
        <f>IFERROR(__xludf.DUMMYFUNCTION("""COMPUTED_VALUE"""),"#N/A")</f>
        <v>#N/A</v>
      </c>
      <c r="F193" s="24" t="str">
        <f>IFERROR(__xludf.DUMMYFUNCTION("""COMPUTED_VALUE"""),"#N/A")</f>
        <v>#N/A</v>
      </c>
    </row>
    <row r="194">
      <c r="A194" s="23"/>
      <c r="B194" s="23"/>
      <c r="C194" s="23"/>
      <c r="D194" s="23"/>
      <c r="E194" s="24" t="str">
        <f>IFERROR(__xludf.DUMMYFUNCTION("""COMPUTED_VALUE"""),"#N/A")</f>
        <v>#N/A</v>
      </c>
      <c r="F194" s="24" t="str">
        <f>IFERROR(__xludf.DUMMYFUNCTION("""COMPUTED_VALUE"""),"#N/A")</f>
        <v>#N/A</v>
      </c>
    </row>
    <row r="195">
      <c r="A195" s="23"/>
      <c r="B195" s="23"/>
      <c r="C195" s="23"/>
      <c r="D195" s="23"/>
      <c r="E195" s="24" t="str">
        <f>IFERROR(__xludf.DUMMYFUNCTION("""COMPUTED_VALUE"""),"#N/A")</f>
        <v>#N/A</v>
      </c>
      <c r="F195" s="24" t="str">
        <f>IFERROR(__xludf.DUMMYFUNCTION("""COMPUTED_VALUE"""),"#N/A")</f>
        <v>#N/A</v>
      </c>
    </row>
    <row r="196">
      <c r="A196" s="23"/>
      <c r="B196" s="23"/>
      <c r="C196" s="23"/>
      <c r="D196" s="23"/>
      <c r="E196" s="24" t="str">
        <f>IFERROR(__xludf.DUMMYFUNCTION("""COMPUTED_VALUE"""),"#N/A")</f>
        <v>#N/A</v>
      </c>
      <c r="F196" s="24" t="str">
        <f>IFERROR(__xludf.DUMMYFUNCTION("""COMPUTED_VALUE"""),"#N/A")</f>
        <v>#N/A</v>
      </c>
    </row>
    <row r="197">
      <c r="A197" s="23"/>
      <c r="B197" s="23"/>
      <c r="C197" s="23"/>
      <c r="D197" s="23"/>
      <c r="E197" s="24" t="str">
        <f>IFERROR(__xludf.DUMMYFUNCTION("""COMPUTED_VALUE"""),"#N/A")</f>
        <v>#N/A</v>
      </c>
      <c r="F197" s="24" t="str">
        <f>IFERROR(__xludf.DUMMYFUNCTION("""COMPUTED_VALUE"""),"#N/A")</f>
        <v>#N/A</v>
      </c>
    </row>
    <row r="198">
      <c r="A198" s="23"/>
      <c r="B198" s="23"/>
      <c r="C198" s="23"/>
      <c r="D198" s="23"/>
      <c r="E198" s="24" t="str">
        <f>IFERROR(__xludf.DUMMYFUNCTION("""COMPUTED_VALUE"""),"#N/A")</f>
        <v>#N/A</v>
      </c>
      <c r="F198" s="24" t="str">
        <f>IFERROR(__xludf.DUMMYFUNCTION("""COMPUTED_VALUE"""),"#N/A")</f>
        <v>#N/A</v>
      </c>
    </row>
    <row r="199">
      <c r="A199" s="23"/>
      <c r="B199" s="23"/>
      <c r="C199" s="23"/>
      <c r="D199" s="23"/>
      <c r="E199" s="24" t="str">
        <f>IFERROR(__xludf.DUMMYFUNCTION("""COMPUTED_VALUE"""),"#N/A")</f>
        <v>#N/A</v>
      </c>
      <c r="F199" s="24" t="str">
        <f>IFERROR(__xludf.DUMMYFUNCTION("""COMPUTED_VALUE"""),"#N/A")</f>
        <v>#N/A</v>
      </c>
    </row>
    <row r="200">
      <c r="A200" s="23"/>
      <c r="B200" s="23"/>
      <c r="C200" s="23"/>
      <c r="D200" s="23"/>
      <c r="E200" s="24" t="str">
        <f>IFERROR(__xludf.DUMMYFUNCTION("""COMPUTED_VALUE"""),"#N/A")</f>
        <v>#N/A</v>
      </c>
      <c r="F200" s="24" t="str">
        <f>IFERROR(__xludf.DUMMYFUNCTION("""COMPUTED_VALUE"""),"#N/A")</f>
        <v>#N/A</v>
      </c>
    </row>
    <row r="201">
      <c r="A201" s="23"/>
      <c r="B201" s="23"/>
      <c r="C201" s="23"/>
      <c r="D201" s="23"/>
      <c r="E201" s="24" t="str">
        <f>IFERROR(__xludf.DUMMYFUNCTION("""COMPUTED_VALUE"""),"#N/A")</f>
        <v>#N/A</v>
      </c>
      <c r="F201" s="24" t="str">
        <f>IFERROR(__xludf.DUMMYFUNCTION("""COMPUTED_VALUE"""),"#N/A")</f>
        <v>#N/A</v>
      </c>
    </row>
    <row r="202">
      <c r="A202" s="23"/>
      <c r="B202" s="23"/>
      <c r="C202" s="23"/>
      <c r="D202" s="23"/>
      <c r="E202" s="24" t="str">
        <f>IFERROR(__xludf.DUMMYFUNCTION("""COMPUTED_VALUE"""),"#N/A")</f>
        <v>#N/A</v>
      </c>
      <c r="F202" s="24" t="str">
        <f>IFERROR(__xludf.DUMMYFUNCTION("""COMPUTED_VALUE"""),"#N/A")</f>
        <v>#N/A</v>
      </c>
    </row>
    <row r="203">
      <c r="A203" s="23"/>
      <c r="B203" s="23"/>
      <c r="C203" s="23"/>
      <c r="D203" s="23"/>
      <c r="E203" s="24" t="str">
        <f>IFERROR(__xludf.DUMMYFUNCTION("""COMPUTED_VALUE"""),"#N/A")</f>
        <v>#N/A</v>
      </c>
      <c r="F203" s="24" t="str">
        <f>IFERROR(__xludf.DUMMYFUNCTION("""COMPUTED_VALUE"""),"#N/A")</f>
        <v>#N/A</v>
      </c>
    </row>
    <row r="204">
      <c r="A204" s="23"/>
      <c r="B204" s="23"/>
      <c r="C204" s="23"/>
      <c r="D204" s="23"/>
      <c r="E204" s="24" t="str">
        <f>IFERROR(__xludf.DUMMYFUNCTION("""COMPUTED_VALUE"""),"#N/A")</f>
        <v>#N/A</v>
      </c>
      <c r="F204" s="24" t="str">
        <f>IFERROR(__xludf.DUMMYFUNCTION("""COMPUTED_VALUE"""),"#N/A")</f>
        <v>#N/A</v>
      </c>
    </row>
    <row r="205">
      <c r="A205" s="23"/>
      <c r="B205" s="23"/>
      <c r="C205" s="23"/>
      <c r="D205" s="23"/>
      <c r="E205" s="24" t="str">
        <f>IFERROR(__xludf.DUMMYFUNCTION("""COMPUTED_VALUE"""),"#N/A")</f>
        <v>#N/A</v>
      </c>
      <c r="F205" s="24" t="str">
        <f>IFERROR(__xludf.DUMMYFUNCTION("""COMPUTED_VALUE"""),"#N/A")</f>
        <v>#N/A</v>
      </c>
    </row>
    <row r="206">
      <c r="A206" s="23"/>
      <c r="B206" s="23"/>
      <c r="C206" s="23"/>
      <c r="D206" s="23"/>
      <c r="E206" s="24" t="str">
        <f>IFERROR(__xludf.DUMMYFUNCTION("""COMPUTED_VALUE"""),"#N/A")</f>
        <v>#N/A</v>
      </c>
      <c r="F206" s="24" t="str">
        <f>IFERROR(__xludf.DUMMYFUNCTION("""COMPUTED_VALUE"""),"#N/A")</f>
        <v>#N/A</v>
      </c>
    </row>
    <row r="207">
      <c r="A207" s="23"/>
      <c r="B207" s="23"/>
      <c r="C207" s="23"/>
      <c r="D207" s="23"/>
      <c r="E207" s="24" t="str">
        <f>IFERROR(__xludf.DUMMYFUNCTION("""COMPUTED_VALUE"""),"#N/A")</f>
        <v>#N/A</v>
      </c>
      <c r="F207" s="24" t="str">
        <f>IFERROR(__xludf.DUMMYFUNCTION("""COMPUTED_VALUE"""),"#N/A")</f>
        <v>#N/A</v>
      </c>
    </row>
    <row r="208">
      <c r="A208" s="23"/>
      <c r="B208" s="23"/>
      <c r="C208" s="23"/>
      <c r="D208" s="23"/>
      <c r="E208" s="24" t="str">
        <f>IFERROR(__xludf.DUMMYFUNCTION("""COMPUTED_VALUE"""),"#N/A")</f>
        <v>#N/A</v>
      </c>
      <c r="F208" s="24" t="str">
        <f>IFERROR(__xludf.DUMMYFUNCTION("""COMPUTED_VALUE"""),"#N/A")</f>
        <v>#N/A</v>
      </c>
    </row>
    <row r="209">
      <c r="A209" s="23"/>
      <c r="B209" s="23"/>
      <c r="C209" s="23"/>
      <c r="D209" s="23"/>
      <c r="E209" s="24" t="str">
        <f>IFERROR(__xludf.DUMMYFUNCTION("""COMPUTED_VALUE"""),"#N/A")</f>
        <v>#N/A</v>
      </c>
      <c r="F209" s="24" t="str">
        <f>IFERROR(__xludf.DUMMYFUNCTION("""COMPUTED_VALUE"""),"#N/A")</f>
        <v>#N/A</v>
      </c>
    </row>
    <row r="210">
      <c r="A210" s="23"/>
      <c r="B210" s="23"/>
      <c r="C210" s="23"/>
      <c r="D210" s="23"/>
      <c r="E210" s="24" t="str">
        <f>IFERROR(__xludf.DUMMYFUNCTION("""COMPUTED_VALUE"""),"#N/A")</f>
        <v>#N/A</v>
      </c>
      <c r="F210" s="24" t="str">
        <f>IFERROR(__xludf.DUMMYFUNCTION("""COMPUTED_VALUE"""),"#N/A")</f>
        <v>#N/A</v>
      </c>
    </row>
    <row r="211">
      <c r="A211" s="23"/>
      <c r="B211" s="23"/>
      <c r="C211" s="23"/>
      <c r="D211" s="23"/>
      <c r="E211" s="24" t="str">
        <f>IFERROR(__xludf.DUMMYFUNCTION("""COMPUTED_VALUE"""),"#N/A")</f>
        <v>#N/A</v>
      </c>
      <c r="F211" s="24" t="str">
        <f>IFERROR(__xludf.DUMMYFUNCTION("""COMPUTED_VALUE"""),"#N/A")</f>
        <v>#N/A</v>
      </c>
    </row>
    <row r="212">
      <c r="A212" s="23"/>
      <c r="B212" s="23"/>
      <c r="C212" s="23"/>
      <c r="D212" s="23"/>
      <c r="E212" s="24" t="str">
        <f>IFERROR(__xludf.DUMMYFUNCTION("""COMPUTED_VALUE"""),"#N/A")</f>
        <v>#N/A</v>
      </c>
      <c r="F212" s="24" t="str">
        <f>IFERROR(__xludf.DUMMYFUNCTION("""COMPUTED_VALUE"""),"#N/A")</f>
        <v>#N/A</v>
      </c>
    </row>
    <row r="213">
      <c r="A213" s="23"/>
      <c r="B213" s="23"/>
      <c r="C213" s="23"/>
      <c r="D213" s="23"/>
      <c r="E213" s="24" t="str">
        <f>IFERROR(__xludf.DUMMYFUNCTION("""COMPUTED_VALUE"""),"#N/A")</f>
        <v>#N/A</v>
      </c>
      <c r="F213" s="24" t="str">
        <f>IFERROR(__xludf.DUMMYFUNCTION("""COMPUTED_VALUE"""),"#N/A")</f>
        <v>#N/A</v>
      </c>
    </row>
    <row r="214">
      <c r="A214" s="23"/>
      <c r="B214" s="23"/>
      <c r="C214" s="23"/>
      <c r="D214" s="23"/>
      <c r="E214" s="24" t="str">
        <f>IFERROR(__xludf.DUMMYFUNCTION("""COMPUTED_VALUE"""),"#N/A")</f>
        <v>#N/A</v>
      </c>
      <c r="F214" s="24" t="str">
        <f>IFERROR(__xludf.DUMMYFUNCTION("""COMPUTED_VALUE"""),"#N/A")</f>
        <v>#N/A</v>
      </c>
    </row>
    <row r="215">
      <c r="A215" s="23"/>
      <c r="B215" s="23"/>
      <c r="C215" s="23"/>
      <c r="D215" s="23"/>
      <c r="E215" s="24" t="str">
        <f>IFERROR(__xludf.DUMMYFUNCTION("""COMPUTED_VALUE"""),"#N/A")</f>
        <v>#N/A</v>
      </c>
      <c r="F215" s="24" t="str">
        <f>IFERROR(__xludf.DUMMYFUNCTION("""COMPUTED_VALUE"""),"#N/A")</f>
        <v>#N/A</v>
      </c>
    </row>
    <row r="216">
      <c r="A216" s="23"/>
      <c r="B216" s="23"/>
      <c r="C216" s="23"/>
      <c r="D216" s="23"/>
      <c r="E216" s="24" t="str">
        <f>IFERROR(__xludf.DUMMYFUNCTION("""COMPUTED_VALUE"""),"#N/A")</f>
        <v>#N/A</v>
      </c>
      <c r="F216" s="24" t="str">
        <f>IFERROR(__xludf.DUMMYFUNCTION("""COMPUTED_VALUE"""),"#N/A")</f>
        <v>#N/A</v>
      </c>
    </row>
    <row r="217">
      <c r="A217" s="23"/>
      <c r="B217" s="23"/>
      <c r="C217" s="23"/>
      <c r="D217" s="23"/>
      <c r="E217" s="24" t="str">
        <f>IFERROR(__xludf.DUMMYFUNCTION("""COMPUTED_VALUE"""),"#N/A")</f>
        <v>#N/A</v>
      </c>
      <c r="F217" s="24" t="str">
        <f>IFERROR(__xludf.DUMMYFUNCTION("""COMPUTED_VALUE"""),"#N/A")</f>
        <v>#N/A</v>
      </c>
    </row>
    <row r="218">
      <c r="A218" s="23"/>
      <c r="B218" s="23"/>
      <c r="C218" s="23"/>
      <c r="D218" s="23"/>
      <c r="E218" s="24" t="str">
        <f>IFERROR(__xludf.DUMMYFUNCTION("""COMPUTED_VALUE"""),"#N/A")</f>
        <v>#N/A</v>
      </c>
      <c r="F218" s="24" t="str">
        <f>IFERROR(__xludf.DUMMYFUNCTION("""COMPUTED_VALUE"""),"#N/A")</f>
        <v>#N/A</v>
      </c>
    </row>
    <row r="219">
      <c r="A219" s="23"/>
      <c r="B219" s="23"/>
      <c r="C219" s="23"/>
      <c r="D219" s="23"/>
      <c r="E219" s="24" t="str">
        <f>IFERROR(__xludf.DUMMYFUNCTION("""COMPUTED_VALUE"""),"#N/A")</f>
        <v>#N/A</v>
      </c>
      <c r="F219" s="24" t="str">
        <f>IFERROR(__xludf.DUMMYFUNCTION("""COMPUTED_VALUE"""),"#N/A")</f>
        <v>#N/A</v>
      </c>
    </row>
    <row r="220">
      <c r="A220" s="23"/>
      <c r="B220" s="23"/>
      <c r="C220" s="23"/>
      <c r="D220" s="23"/>
      <c r="E220" s="24" t="str">
        <f>IFERROR(__xludf.DUMMYFUNCTION("""COMPUTED_VALUE"""),"#N/A")</f>
        <v>#N/A</v>
      </c>
      <c r="F220" s="24" t="str">
        <f>IFERROR(__xludf.DUMMYFUNCTION("""COMPUTED_VALUE"""),"#N/A")</f>
        <v>#N/A</v>
      </c>
    </row>
    <row r="221">
      <c r="A221" s="23"/>
      <c r="B221" s="23"/>
      <c r="C221" s="23"/>
      <c r="D221" s="23"/>
      <c r="E221" s="24" t="str">
        <f>IFERROR(__xludf.DUMMYFUNCTION("""COMPUTED_VALUE"""),"#N/A")</f>
        <v>#N/A</v>
      </c>
      <c r="F221" s="24" t="str">
        <f>IFERROR(__xludf.DUMMYFUNCTION("""COMPUTED_VALUE"""),"#N/A")</f>
        <v>#N/A</v>
      </c>
    </row>
    <row r="222">
      <c r="A222" s="23"/>
      <c r="B222" s="23"/>
      <c r="C222" s="23"/>
      <c r="D222" s="23"/>
      <c r="E222" s="24" t="str">
        <f>IFERROR(__xludf.DUMMYFUNCTION("""COMPUTED_VALUE"""),"#N/A")</f>
        <v>#N/A</v>
      </c>
      <c r="F222" s="24" t="str">
        <f>IFERROR(__xludf.DUMMYFUNCTION("""COMPUTED_VALUE"""),"#N/A")</f>
        <v>#N/A</v>
      </c>
    </row>
    <row r="223">
      <c r="A223" s="23"/>
      <c r="B223" s="23"/>
      <c r="C223" s="23"/>
      <c r="D223" s="23"/>
      <c r="E223" s="24" t="str">
        <f>IFERROR(__xludf.DUMMYFUNCTION("""COMPUTED_VALUE"""),"#N/A")</f>
        <v>#N/A</v>
      </c>
      <c r="F223" s="24" t="str">
        <f>IFERROR(__xludf.DUMMYFUNCTION("""COMPUTED_VALUE"""),"#N/A")</f>
        <v>#N/A</v>
      </c>
    </row>
    <row r="224">
      <c r="A224" s="23"/>
      <c r="B224" s="23"/>
      <c r="C224" s="23"/>
      <c r="D224" s="23"/>
      <c r="E224" s="24" t="str">
        <f>IFERROR(__xludf.DUMMYFUNCTION("""COMPUTED_VALUE"""),"#N/A")</f>
        <v>#N/A</v>
      </c>
      <c r="F224" s="24" t="str">
        <f>IFERROR(__xludf.DUMMYFUNCTION("""COMPUTED_VALUE"""),"#N/A")</f>
        <v>#N/A</v>
      </c>
    </row>
    <row r="225">
      <c r="A225" s="23"/>
      <c r="B225" s="23"/>
      <c r="C225" s="23"/>
      <c r="D225" s="23"/>
      <c r="E225" s="24" t="str">
        <f>IFERROR(__xludf.DUMMYFUNCTION("""COMPUTED_VALUE"""),"#N/A")</f>
        <v>#N/A</v>
      </c>
      <c r="F225" s="24" t="str">
        <f>IFERROR(__xludf.DUMMYFUNCTION("""COMPUTED_VALUE"""),"#N/A")</f>
        <v>#N/A</v>
      </c>
    </row>
    <row r="226">
      <c r="A226" s="23"/>
      <c r="B226" s="23"/>
      <c r="C226" s="23"/>
      <c r="D226" s="23"/>
      <c r="E226" s="24" t="str">
        <f>IFERROR(__xludf.DUMMYFUNCTION("""COMPUTED_VALUE"""),"#N/A")</f>
        <v>#N/A</v>
      </c>
      <c r="F226" s="24" t="str">
        <f>IFERROR(__xludf.DUMMYFUNCTION("""COMPUTED_VALUE"""),"#N/A")</f>
        <v>#N/A</v>
      </c>
    </row>
    <row r="227">
      <c r="A227" s="23"/>
      <c r="B227" s="23"/>
      <c r="C227" s="23"/>
      <c r="D227" s="23"/>
      <c r="E227" s="24" t="str">
        <f>IFERROR(__xludf.DUMMYFUNCTION("""COMPUTED_VALUE"""),"#N/A")</f>
        <v>#N/A</v>
      </c>
      <c r="F227" s="24" t="str">
        <f>IFERROR(__xludf.DUMMYFUNCTION("""COMPUTED_VALUE"""),"#N/A")</f>
        <v>#N/A</v>
      </c>
    </row>
    <row r="228">
      <c r="A228" s="23"/>
      <c r="B228" s="23"/>
      <c r="C228" s="23"/>
      <c r="D228" s="23"/>
      <c r="E228" s="24" t="str">
        <f>IFERROR(__xludf.DUMMYFUNCTION("""COMPUTED_VALUE"""),"#N/A")</f>
        <v>#N/A</v>
      </c>
      <c r="F228" s="24" t="str">
        <f>IFERROR(__xludf.DUMMYFUNCTION("""COMPUTED_VALUE"""),"#N/A")</f>
        <v>#N/A</v>
      </c>
    </row>
    <row r="229">
      <c r="A229" s="23"/>
      <c r="B229" s="23"/>
      <c r="C229" s="23"/>
      <c r="D229" s="23"/>
      <c r="E229" s="24" t="str">
        <f>IFERROR(__xludf.DUMMYFUNCTION("""COMPUTED_VALUE"""),"#N/A")</f>
        <v>#N/A</v>
      </c>
      <c r="F229" s="24" t="str">
        <f>IFERROR(__xludf.DUMMYFUNCTION("""COMPUTED_VALUE"""),"#N/A")</f>
        <v>#N/A</v>
      </c>
    </row>
    <row r="230">
      <c r="A230" s="23"/>
      <c r="B230" s="23"/>
      <c r="C230" s="23"/>
      <c r="D230" s="23"/>
      <c r="E230" s="24" t="str">
        <f>IFERROR(__xludf.DUMMYFUNCTION("""COMPUTED_VALUE"""),"#N/A")</f>
        <v>#N/A</v>
      </c>
      <c r="F230" s="24" t="str">
        <f>IFERROR(__xludf.DUMMYFUNCTION("""COMPUTED_VALUE"""),"#N/A")</f>
        <v>#N/A</v>
      </c>
    </row>
    <row r="231">
      <c r="A231" s="23"/>
      <c r="B231" s="23"/>
      <c r="C231" s="23"/>
      <c r="D231" s="23"/>
      <c r="E231" s="24" t="str">
        <f>IFERROR(__xludf.DUMMYFUNCTION("""COMPUTED_VALUE"""),"#N/A")</f>
        <v>#N/A</v>
      </c>
      <c r="F231" s="24" t="str">
        <f>IFERROR(__xludf.DUMMYFUNCTION("""COMPUTED_VALUE"""),"#N/A")</f>
        <v>#N/A</v>
      </c>
    </row>
    <row r="232">
      <c r="A232" s="23"/>
      <c r="B232" s="23"/>
      <c r="C232" s="23"/>
      <c r="D232" s="23"/>
      <c r="E232" s="24" t="str">
        <f>IFERROR(__xludf.DUMMYFUNCTION("""COMPUTED_VALUE"""),"#N/A")</f>
        <v>#N/A</v>
      </c>
      <c r="F232" s="24" t="str">
        <f>IFERROR(__xludf.DUMMYFUNCTION("""COMPUTED_VALUE"""),"#N/A")</f>
        <v>#N/A</v>
      </c>
    </row>
    <row r="233">
      <c r="A233" s="23"/>
      <c r="B233" s="23"/>
      <c r="C233" s="23"/>
      <c r="D233" s="23"/>
      <c r="E233" s="24" t="str">
        <f>IFERROR(__xludf.DUMMYFUNCTION("""COMPUTED_VALUE"""),"#N/A")</f>
        <v>#N/A</v>
      </c>
      <c r="F233" s="24" t="str">
        <f>IFERROR(__xludf.DUMMYFUNCTION("""COMPUTED_VALUE"""),"#N/A")</f>
        <v>#N/A</v>
      </c>
    </row>
    <row r="234">
      <c r="A234" s="23"/>
      <c r="B234" s="23"/>
      <c r="C234" s="23"/>
      <c r="D234" s="23"/>
      <c r="E234" s="24" t="str">
        <f>IFERROR(__xludf.DUMMYFUNCTION("""COMPUTED_VALUE"""),"#N/A")</f>
        <v>#N/A</v>
      </c>
      <c r="F234" s="24" t="str">
        <f>IFERROR(__xludf.DUMMYFUNCTION("""COMPUTED_VALUE"""),"#N/A")</f>
        <v>#N/A</v>
      </c>
    </row>
    <row r="235">
      <c r="A235" s="23"/>
      <c r="B235" s="23"/>
      <c r="C235" s="23"/>
      <c r="D235" s="23"/>
      <c r="E235" s="24" t="str">
        <f>IFERROR(__xludf.DUMMYFUNCTION("""COMPUTED_VALUE"""),"#N/A")</f>
        <v>#N/A</v>
      </c>
      <c r="F235" s="24" t="str">
        <f>IFERROR(__xludf.DUMMYFUNCTION("""COMPUTED_VALUE"""),"#N/A")</f>
        <v>#N/A</v>
      </c>
    </row>
    <row r="236">
      <c r="A236" s="23"/>
      <c r="B236" s="23"/>
      <c r="C236" s="23"/>
      <c r="D236" s="23"/>
      <c r="E236" s="24" t="str">
        <f>IFERROR(__xludf.DUMMYFUNCTION("""COMPUTED_VALUE"""),"#N/A")</f>
        <v>#N/A</v>
      </c>
      <c r="F236" s="24" t="str">
        <f>IFERROR(__xludf.DUMMYFUNCTION("""COMPUTED_VALUE"""),"#N/A")</f>
        <v>#N/A</v>
      </c>
    </row>
    <row r="237">
      <c r="A237" s="23"/>
      <c r="B237" s="23"/>
      <c r="C237" s="23"/>
      <c r="D237" s="23"/>
      <c r="E237" s="24" t="str">
        <f>IFERROR(__xludf.DUMMYFUNCTION("""COMPUTED_VALUE"""),"#N/A")</f>
        <v>#N/A</v>
      </c>
      <c r="F237" s="24" t="str">
        <f>IFERROR(__xludf.DUMMYFUNCTION("""COMPUTED_VALUE"""),"#N/A")</f>
        <v>#N/A</v>
      </c>
    </row>
    <row r="238">
      <c r="A238" s="23"/>
      <c r="B238" s="23"/>
      <c r="C238" s="23"/>
      <c r="D238" s="23"/>
      <c r="E238" s="24" t="str">
        <f>IFERROR(__xludf.DUMMYFUNCTION("""COMPUTED_VALUE"""),"#N/A")</f>
        <v>#N/A</v>
      </c>
      <c r="F238" s="24" t="str">
        <f>IFERROR(__xludf.DUMMYFUNCTION("""COMPUTED_VALUE"""),"#N/A")</f>
        <v>#N/A</v>
      </c>
    </row>
    <row r="239">
      <c r="A239" s="23"/>
      <c r="B239" s="23"/>
      <c r="C239" s="23"/>
      <c r="D239" s="23"/>
      <c r="E239" s="24" t="str">
        <f>IFERROR(__xludf.DUMMYFUNCTION("""COMPUTED_VALUE"""),"#N/A")</f>
        <v>#N/A</v>
      </c>
      <c r="F239" s="24" t="str">
        <f>IFERROR(__xludf.DUMMYFUNCTION("""COMPUTED_VALUE"""),"#N/A")</f>
        <v>#N/A</v>
      </c>
    </row>
    <row r="240">
      <c r="A240" s="23"/>
      <c r="B240" s="23"/>
      <c r="C240" s="23"/>
      <c r="D240" s="23"/>
      <c r="E240" s="24" t="str">
        <f>IFERROR(__xludf.DUMMYFUNCTION("""COMPUTED_VALUE"""),"#N/A")</f>
        <v>#N/A</v>
      </c>
      <c r="F240" s="24" t="str">
        <f>IFERROR(__xludf.DUMMYFUNCTION("""COMPUTED_VALUE"""),"#N/A")</f>
        <v>#N/A</v>
      </c>
    </row>
    <row r="241">
      <c r="A241" s="23"/>
      <c r="B241" s="23"/>
      <c r="C241" s="23"/>
      <c r="D241" s="23"/>
      <c r="E241" s="24" t="str">
        <f>IFERROR(__xludf.DUMMYFUNCTION("""COMPUTED_VALUE"""),"#N/A")</f>
        <v>#N/A</v>
      </c>
      <c r="F241" s="24" t="str">
        <f>IFERROR(__xludf.DUMMYFUNCTION("""COMPUTED_VALUE"""),"#N/A")</f>
        <v>#N/A</v>
      </c>
    </row>
    <row r="242">
      <c r="A242" s="23"/>
      <c r="B242" s="23"/>
      <c r="C242" s="23"/>
      <c r="D242" s="23"/>
      <c r="E242" s="24" t="str">
        <f>IFERROR(__xludf.DUMMYFUNCTION("""COMPUTED_VALUE"""),"#N/A")</f>
        <v>#N/A</v>
      </c>
      <c r="F242" s="24" t="str">
        <f>IFERROR(__xludf.DUMMYFUNCTION("""COMPUTED_VALUE"""),"#N/A")</f>
        <v>#N/A</v>
      </c>
    </row>
    <row r="243">
      <c r="A243" s="23"/>
      <c r="B243" s="23"/>
      <c r="C243" s="23"/>
      <c r="D243" s="23"/>
      <c r="E243" s="24" t="str">
        <f>IFERROR(__xludf.DUMMYFUNCTION("""COMPUTED_VALUE"""),"#N/A")</f>
        <v>#N/A</v>
      </c>
      <c r="F243" s="24" t="str">
        <f>IFERROR(__xludf.DUMMYFUNCTION("""COMPUTED_VALUE"""),"#N/A")</f>
        <v>#N/A</v>
      </c>
    </row>
    <row r="244">
      <c r="A244" s="23"/>
      <c r="B244" s="23"/>
      <c r="C244" s="23"/>
      <c r="D244" s="23"/>
      <c r="E244" s="24" t="str">
        <f>IFERROR(__xludf.DUMMYFUNCTION("""COMPUTED_VALUE"""),"#N/A")</f>
        <v>#N/A</v>
      </c>
      <c r="F244" s="24" t="str">
        <f>IFERROR(__xludf.DUMMYFUNCTION("""COMPUTED_VALUE"""),"#N/A")</f>
        <v>#N/A</v>
      </c>
    </row>
    <row r="245">
      <c r="A245" s="23"/>
      <c r="B245" s="23"/>
      <c r="C245" s="23"/>
      <c r="D245" s="23"/>
      <c r="E245" s="24" t="str">
        <f>IFERROR(__xludf.DUMMYFUNCTION("""COMPUTED_VALUE"""),"#N/A")</f>
        <v>#N/A</v>
      </c>
      <c r="F245" s="24" t="str">
        <f>IFERROR(__xludf.DUMMYFUNCTION("""COMPUTED_VALUE"""),"#N/A")</f>
        <v>#N/A</v>
      </c>
    </row>
    <row r="246">
      <c r="A246" s="23"/>
      <c r="B246" s="23"/>
      <c r="C246" s="23"/>
      <c r="D246" s="23"/>
      <c r="E246" s="24" t="str">
        <f>IFERROR(__xludf.DUMMYFUNCTION("""COMPUTED_VALUE"""),"#N/A")</f>
        <v>#N/A</v>
      </c>
      <c r="F246" s="24" t="str">
        <f>IFERROR(__xludf.DUMMYFUNCTION("""COMPUTED_VALUE"""),"#N/A")</f>
        <v>#N/A</v>
      </c>
    </row>
    <row r="247">
      <c r="A247" s="23"/>
      <c r="B247" s="23"/>
      <c r="C247" s="23"/>
      <c r="D247" s="23"/>
      <c r="E247" s="24" t="str">
        <f>IFERROR(__xludf.DUMMYFUNCTION("""COMPUTED_VALUE"""),"#N/A")</f>
        <v>#N/A</v>
      </c>
      <c r="F247" s="24" t="str">
        <f>IFERROR(__xludf.DUMMYFUNCTION("""COMPUTED_VALUE"""),"#N/A")</f>
        <v>#N/A</v>
      </c>
    </row>
    <row r="248">
      <c r="A248" s="23"/>
      <c r="B248" s="23"/>
      <c r="C248" s="23"/>
      <c r="D248" s="23"/>
      <c r="E248" s="24" t="str">
        <f>IFERROR(__xludf.DUMMYFUNCTION("""COMPUTED_VALUE"""),"#N/A")</f>
        <v>#N/A</v>
      </c>
      <c r="F248" s="24" t="str">
        <f>IFERROR(__xludf.DUMMYFUNCTION("""COMPUTED_VALUE"""),"#N/A")</f>
        <v>#N/A</v>
      </c>
    </row>
    <row r="249">
      <c r="A249" s="23"/>
      <c r="B249" s="23"/>
      <c r="C249" s="23"/>
      <c r="D249" s="23"/>
      <c r="E249" s="24" t="str">
        <f>IFERROR(__xludf.DUMMYFUNCTION("""COMPUTED_VALUE"""),"#N/A")</f>
        <v>#N/A</v>
      </c>
      <c r="F249" s="24" t="str">
        <f>IFERROR(__xludf.DUMMYFUNCTION("""COMPUTED_VALUE"""),"#N/A")</f>
        <v>#N/A</v>
      </c>
    </row>
    <row r="250">
      <c r="A250" s="23"/>
      <c r="B250" s="23"/>
      <c r="C250" s="23"/>
      <c r="D250" s="23"/>
      <c r="E250" s="24" t="str">
        <f>IFERROR(__xludf.DUMMYFUNCTION("""COMPUTED_VALUE"""),"#N/A")</f>
        <v>#N/A</v>
      </c>
      <c r="F250" s="24" t="str">
        <f>IFERROR(__xludf.DUMMYFUNCTION("""COMPUTED_VALUE"""),"#N/A")</f>
        <v>#N/A</v>
      </c>
    </row>
    <row r="251">
      <c r="A251" s="23"/>
      <c r="B251" s="23"/>
      <c r="C251" s="23"/>
      <c r="D251" s="23"/>
      <c r="E251" s="24" t="str">
        <f>IFERROR(__xludf.DUMMYFUNCTION("""COMPUTED_VALUE"""),"#N/A")</f>
        <v>#N/A</v>
      </c>
      <c r="F251" s="24" t="str">
        <f>IFERROR(__xludf.DUMMYFUNCTION("""COMPUTED_VALUE"""),"#N/A")</f>
        <v>#N/A</v>
      </c>
    </row>
    <row r="252">
      <c r="A252" s="23"/>
      <c r="B252" s="23"/>
      <c r="C252" s="23"/>
      <c r="D252" s="23"/>
      <c r="E252" s="24" t="str">
        <f>IFERROR(__xludf.DUMMYFUNCTION("""COMPUTED_VALUE"""),"#N/A")</f>
        <v>#N/A</v>
      </c>
      <c r="F252" s="24" t="str">
        <f>IFERROR(__xludf.DUMMYFUNCTION("""COMPUTED_VALUE"""),"#N/A")</f>
        <v>#N/A</v>
      </c>
    </row>
    <row r="253">
      <c r="A253" s="23"/>
      <c r="B253" s="23"/>
      <c r="C253" s="23"/>
      <c r="D253" s="23"/>
      <c r="E253" s="24" t="str">
        <f>IFERROR(__xludf.DUMMYFUNCTION("""COMPUTED_VALUE"""),"#N/A")</f>
        <v>#N/A</v>
      </c>
      <c r="F253" s="24" t="str">
        <f>IFERROR(__xludf.DUMMYFUNCTION("""COMPUTED_VALUE"""),"#N/A")</f>
        <v>#N/A</v>
      </c>
    </row>
    <row r="254">
      <c r="A254" s="23"/>
      <c r="B254" s="23"/>
      <c r="C254" s="23"/>
      <c r="D254" s="23"/>
      <c r="E254" s="24" t="str">
        <f>IFERROR(__xludf.DUMMYFUNCTION("""COMPUTED_VALUE"""),"#N/A")</f>
        <v>#N/A</v>
      </c>
      <c r="F254" s="24" t="str">
        <f>IFERROR(__xludf.DUMMYFUNCTION("""COMPUTED_VALUE"""),"#N/A")</f>
        <v>#N/A</v>
      </c>
    </row>
    <row r="255">
      <c r="A255" s="23"/>
      <c r="B255" s="23"/>
      <c r="C255" s="23"/>
      <c r="D255" s="23"/>
      <c r="E255" s="24" t="str">
        <f>IFERROR(__xludf.DUMMYFUNCTION("""COMPUTED_VALUE"""),"#N/A")</f>
        <v>#N/A</v>
      </c>
      <c r="F255" s="24" t="str">
        <f>IFERROR(__xludf.DUMMYFUNCTION("""COMPUTED_VALUE"""),"#N/A")</f>
        <v>#N/A</v>
      </c>
    </row>
    <row r="256">
      <c r="A256" s="23"/>
      <c r="B256" s="23"/>
      <c r="C256" s="23"/>
      <c r="D256" s="23"/>
      <c r="E256" s="24" t="str">
        <f>IFERROR(__xludf.DUMMYFUNCTION("""COMPUTED_VALUE"""),"#N/A")</f>
        <v>#N/A</v>
      </c>
      <c r="F256" s="24" t="str">
        <f>IFERROR(__xludf.DUMMYFUNCTION("""COMPUTED_VALUE"""),"#N/A")</f>
        <v>#N/A</v>
      </c>
    </row>
    <row r="257">
      <c r="A257" s="23"/>
      <c r="B257" s="23"/>
      <c r="C257" s="23"/>
      <c r="D257" s="23"/>
      <c r="E257" s="24" t="str">
        <f>IFERROR(__xludf.DUMMYFUNCTION("""COMPUTED_VALUE"""),"#N/A")</f>
        <v>#N/A</v>
      </c>
      <c r="F257" s="24" t="str">
        <f>IFERROR(__xludf.DUMMYFUNCTION("""COMPUTED_VALUE"""),"#N/A")</f>
        <v>#N/A</v>
      </c>
    </row>
    <row r="258">
      <c r="A258" s="23"/>
      <c r="B258" s="23"/>
      <c r="C258" s="23"/>
      <c r="D258" s="23"/>
      <c r="E258" s="24" t="str">
        <f>IFERROR(__xludf.DUMMYFUNCTION("""COMPUTED_VALUE"""),"#N/A")</f>
        <v>#N/A</v>
      </c>
      <c r="F258" s="24" t="str">
        <f>IFERROR(__xludf.DUMMYFUNCTION("""COMPUTED_VALUE"""),"#N/A")</f>
        <v>#N/A</v>
      </c>
    </row>
    <row r="259">
      <c r="A259" s="23"/>
      <c r="B259" s="23"/>
      <c r="C259" s="23"/>
      <c r="D259" s="23"/>
      <c r="E259" s="24" t="str">
        <f>IFERROR(__xludf.DUMMYFUNCTION("""COMPUTED_VALUE"""),"#N/A")</f>
        <v>#N/A</v>
      </c>
      <c r="F259" s="24" t="str">
        <f>IFERROR(__xludf.DUMMYFUNCTION("""COMPUTED_VALUE"""),"#N/A")</f>
        <v>#N/A</v>
      </c>
    </row>
    <row r="260">
      <c r="A260" s="23"/>
      <c r="B260" s="23"/>
      <c r="C260" s="23"/>
      <c r="D260" s="23"/>
      <c r="E260" s="24" t="str">
        <f>IFERROR(__xludf.DUMMYFUNCTION("""COMPUTED_VALUE"""),"#N/A")</f>
        <v>#N/A</v>
      </c>
      <c r="F260" s="24" t="str">
        <f>IFERROR(__xludf.DUMMYFUNCTION("""COMPUTED_VALUE"""),"#N/A")</f>
        <v>#N/A</v>
      </c>
    </row>
    <row r="261">
      <c r="A261" s="23"/>
      <c r="B261" s="23"/>
      <c r="C261" s="23"/>
      <c r="D261" s="23"/>
      <c r="E261" s="24" t="str">
        <f>IFERROR(__xludf.DUMMYFUNCTION("""COMPUTED_VALUE"""),"#N/A")</f>
        <v>#N/A</v>
      </c>
      <c r="F261" s="24" t="str">
        <f>IFERROR(__xludf.DUMMYFUNCTION("""COMPUTED_VALUE"""),"#N/A")</f>
        <v>#N/A</v>
      </c>
    </row>
    <row r="262">
      <c r="A262" s="23"/>
      <c r="B262" s="23"/>
      <c r="C262" s="23"/>
      <c r="D262" s="23"/>
      <c r="E262" s="24" t="str">
        <f>IFERROR(__xludf.DUMMYFUNCTION("""COMPUTED_VALUE"""),"#N/A")</f>
        <v>#N/A</v>
      </c>
      <c r="F262" s="24" t="str">
        <f>IFERROR(__xludf.DUMMYFUNCTION("""COMPUTED_VALUE"""),"#N/A")</f>
        <v>#N/A</v>
      </c>
    </row>
    <row r="263">
      <c r="A263" s="23"/>
      <c r="B263" s="23"/>
      <c r="C263" s="23"/>
      <c r="D263" s="23"/>
      <c r="E263" s="24" t="str">
        <f>IFERROR(__xludf.DUMMYFUNCTION("""COMPUTED_VALUE"""),"#N/A")</f>
        <v>#N/A</v>
      </c>
      <c r="F263" s="24" t="str">
        <f>IFERROR(__xludf.DUMMYFUNCTION("""COMPUTED_VALUE"""),"#N/A")</f>
        <v>#N/A</v>
      </c>
    </row>
    <row r="264">
      <c r="A264" s="23"/>
      <c r="B264" s="23"/>
      <c r="C264" s="23"/>
      <c r="D264" s="23"/>
      <c r="E264" s="24" t="str">
        <f>IFERROR(__xludf.DUMMYFUNCTION("""COMPUTED_VALUE"""),"#N/A")</f>
        <v>#N/A</v>
      </c>
      <c r="F264" s="24" t="str">
        <f>IFERROR(__xludf.DUMMYFUNCTION("""COMPUTED_VALUE"""),"#N/A")</f>
        <v>#N/A</v>
      </c>
    </row>
    <row r="265">
      <c r="A265" s="23"/>
      <c r="B265" s="23"/>
      <c r="C265" s="23"/>
      <c r="D265" s="23"/>
      <c r="E265" s="24" t="str">
        <f>IFERROR(__xludf.DUMMYFUNCTION("""COMPUTED_VALUE"""),"#N/A")</f>
        <v>#N/A</v>
      </c>
      <c r="F265" s="24" t="str">
        <f>IFERROR(__xludf.DUMMYFUNCTION("""COMPUTED_VALUE"""),"#N/A")</f>
        <v>#N/A</v>
      </c>
    </row>
    <row r="266">
      <c r="A266" s="23"/>
      <c r="B266" s="23"/>
      <c r="C266" s="23"/>
      <c r="D266" s="23"/>
      <c r="E266" s="24" t="str">
        <f>IFERROR(__xludf.DUMMYFUNCTION("""COMPUTED_VALUE"""),"#N/A")</f>
        <v>#N/A</v>
      </c>
      <c r="F266" s="24" t="str">
        <f>IFERROR(__xludf.DUMMYFUNCTION("""COMPUTED_VALUE"""),"#N/A")</f>
        <v>#N/A</v>
      </c>
    </row>
    <row r="267">
      <c r="A267" s="23"/>
      <c r="B267" s="23"/>
      <c r="C267" s="23"/>
      <c r="D267" s="23"/>
      <c r="E267" s="24" t="str">
        <f>IFERROR(__xludf.DUMMYFUNCTION("""COMPUTED_VALUE"""),"#N/A")</f>
        <v>#N/A</v>
      </c>
      <c r="F267" s="24" t="str">
        <f>IFERROR(__xludf.DUMMYFUNCTION("""COMPUTED_VALUE"""),"#N/A")</f>
        <v>#N/A</v>
      </c>
    </row>
    <row r="268">
      <c r="A268" s="23"/>
      <c r="B268" s="23"/>
      <c r="C268" s="23"/>
      <c r="D268" s="23"/>
      <c r="E268" s="24" t="str">
        <f>IFERROR(__xludf.DUMMYFUNCTION("""COMPUTED_VALUE"""),"#N/A")</f>
        <v>#N/A</v>
      </c>
      <c r="F268" s="24" t="str">
        <f>IFERROR(__xludf.DUMMYFUNCTION("""COMPUTED_VALUE"""),"#N/A")</f>
        <v>#N/A</v>
      </c>
    </row>
    <row r="269">
      <c r="A269" s="23"/>
      <c r="B269" s="23"/>
      <c r="C269" s="23"/>
      <c r="D269" s="23"/>
      <c r="E269" s="24" t="str">
        <f>IFERROR(__xludf.DUMMYFUNCTION("""COMPUTED_VALUE"""),"#N/A")</f>
        <v>#N/A</v>
      </c>
      <c r="F269" s="24" t="str">
        <f>IFERROR(__xludf.DUMMYFUNCTION("""COMPUTED_VALUE"""),"#N/A")</f>
        <v>#N/A</v>
      </c>
    </row>
    <row r="270">
      <c r="A270" s="23"/>
      <c r="B270" s="23"/>
      <c r="C270" s="23"/>
      <c r="D270" s="23"/>
      <c r="E270" s="24" t="str">
        <f>IFERROR(__xludf.DUMMYFUNCTION("""COMPUTED_VALUE"""),"#N/A")</f>
        <v>#N/A</v>
      </c>
      <c r="F270" s="24" t="str">
        <f>IFERROR(__xludf.DUMMYFUNCTION("""COMPUTED_VALUE"""),"#N/A")</f>
        <v>#N/A</v>
      </c>
    </row>
    <row r="271">
      <c r="A271" s="23"/>
      <c r="B271" s="23"/>
      <c r="C271" s="23"/>
      <c r="D271" s="23"/>
      <c r="E271" s="24" t="str">
        <f>IFERROR(__xludf.DUMMYFUNCTION("""COMPUTED_VALUE"""),"#N/A")</f>
        <v>#N/A</v>
      </c>
      <c r="F271" s="24" t="str">
        <f>IFERROR(__xludf.DUMMYFUNCTION("""COMPUTED_VALUE"""),"#N/A")</f>
        <v>#N/A</v>
      </c>
    </row>
    <row r="272">
      <c r="A272" s="23"/>
      <c r="B272" s="23"/>
      <c r="C272" s="23"/>
      <c r="D272" s="23"/>
      <c r="E272" s="24" t="str">
        <f>IFERROR(__xludf.DUMMYFUNCTION("""COMPUTED_VALUE"""),"#N/A")</f>
        <v>#N/A</v>
      </c>
      <c r="F272" s="24" t="str">
        <f>IFERROR(__xludf.DUMMYFUNCTION("""COMPUTED_VALUE"""),"#N/A")</f>
        <v>#N/A</v>
      </c>
    </row>
    <row r="273">
      <c r="A273" s="23"/>
      <c r="B273" s="23"/>
      <c r="C273" s="23"/>
      <c r="D273" s="23"/>
      <c r="E273" s="24" t="str">
        <f>IFERROR(__xludf.DUMMYFUNCTION("""COMPUTED_VALUE"""),"#N/A")</f>
        <v>#N/A</v>
      </c>
      <c r="F273" s="24" t="str">
        <f>IFERROR(__xludf.DUMMYFUNCTION("""COMPUTED_VALUE"""),"#N/A")</f>
        <v>#N/A</v>
      </c>
    </row>
    <row r="274">
      <c r="A274" s="23"/>
      <c r="B274" s="23"/>
      <c r="C274" s="23"/>
      <c r="D274" s="23"/>
      <c r="E274" s="24" t="str">
        <f>IFERROR(__xludf.DUMMYFUNCTION("""COMPUTED_VALUE"""),"#N/A")</f>
        <v>#N/A</v>
      </c>
      <c r="F274" s="24" t="str">
        <f>IFERROR(__xludf.DUMMYFUNCTION("""COMPUTED_VALUE"""),"#N/A")</f>
        <v>#N/A</v>
      </c>
    </row>
    <row r="275">
      <c r="A275" s="23"/>
      <c r="B275" s="23"/>
      <c r="C275" s="23"/>
      <c r="D275" s="23"/>
      <c r="E275" s="24" t="str">
        <f>IFERROR(__xludf.DUMMYFUNCTION("""COMPUTED_VALUE"""),"#N/A")</f>
        <v>#N/A</v>
      </c>
      <c r="F275" s="24" t="str">
        <f>IFERROR(__xludf.DUMMYFUNCTION("""COMPUTED_VALUE"""),"#N/A")</f>
        <v>#N/A</v>
      </c>
    </row>
    <row r="276">
      <c r="A276" s="23"/>
      <c r="B276" s="23"/>
      <c r="C276" s="23"/>
      <c r="D276" s="23"/>
      <c r="E276" s="24" t="str">
        <f>IFERROR(__xludf.DUMMYFUNCTION("""COMPUTED_VALUE"""),"#N/A")</f>
        <v>#N/A</v>
      </c>
      <c r="F276" s="24" t="str">
        <f>IFERROR(__xludf.DUMMYFUNCTION("""COMPUTED_VALUE"""),"#N/A")</f>
        <v>#N/A</v>
      </c>
    </row>
    <row r="277">
      <c r="A277" s="23"/>
      <c r="B277" s="23"/>
      <c r="C277" s="23"/>
      <c r="D277" s="23"/>
      <c r="E277" s="24" t="str">
        <f>IFERROR(__xludf.DUMMYFUNCTION("""COMPUTED_VALUE"""),"#N/A")</f>
        <v>#N/A</v>
      </c>
      <c r="F277" s="24" t="str">
        <f>IFERROR(__xludf.DUMMYFUNCTION("""COMPUTED_VALUE"""),"#N/A")</f>
        <v>#N/A</v>
      </c>
    </row>
    <row r="278">
      <c r="A278" s="23"/>
      <c r="B278" s="23"/>
      <c r="C278" s="23"/>
      <c r="D278" s="23"/>
      <c r="E278" s="24" t="str">
        <f>IFERROR(__xludf.DUMMYFUNCTION("""COMPUTED_VALUE"""),"#N/A")</f>
        <v>#N/A</v>
      </c>
      <c r="F278" s="24" t="str">
        <f>IFERROR(__xludf.DUMMYFUNCTION("""COMPUTED_VALUE"""),"#N/A")</f>
        <v>#N/A</v>
      </c>
    </row>
    <row r="279">
      <c r="A279" s="23"/>
      <c r="B279" s="23"/>
      <c r="C279" s="23"/>
      <c r="D279" s="23"/>
      <c r="E279" s="24" t="str">
        <f>IFERROR(__xludf.DUMMYFUNCTION("""COMPUTED_VALUE"""),"#N/A")</f>
        <v>#N/A</v>
      </c>
      <c r="F279" s="24" t="str">
        <f>IFERROR(__xludf.DUMMYFUNCTION("""COMPUTED_VALUE"""),"#N/A")</f>
        <v>#N/A</v>
      </c>
    </row>
    <row r="280">
      <c r="A280" s="23"/>
      <c r="B280" s="23"/>
      <c r="C280" s="23"/>
      <c r="D280" s="23"/>
      <c r="E280" s="24" t="str">
        <f>IFERROR(__xludf.DUMMYFUNCTION("""COMPUTED_VALUE"""),"#N/A")</f>
        <v>#N/A</v>
      </c>
      <c r="F280" s="24" t="str">
        <f>IFERROR(__xludf.DUMMYFUNCTION("""COMPUTED_VALUE"""),"#N/A")</f>
        <v>#N/A</v>
      </c>
    </row>
    <row r="281">
      <c r="A281" s="23"/>
      <c r="B281" s="23"/>
      <c r="C281" s="23"/>
      <c r="D281" s="23"/>
      <c r="E281" s="24" t="str">
        <f>IFERROR(__xludf.DUMMYFUNCTION("""COMPUTED_VALUE"""),"#N/A")</f>
        <v>#N/A</v>
      </c>
      <c r="F281" s="24" t="str">
        <f>IFERROR(__xludf.DUMMYFUNCTION("""COMPUTED_VALUE"""),"#N/A")</f>
        <v>#N/A</v>
      </c>
    </row>
    <row r="282">
      <c r="A282" s="23"/>
      <c r="B282" s="23"/>
      <c r="C282" s="23"/>
      <c r="D282" s="23"/>
      <c r="E282" s="24" t="str">
        <f>IFERROR(__xludf.DUMMYFUNCTION("""COMPUTED_VALUE"""),"#N/A")</f>
        <v>#N/A</v>
      </c>
      <c r="F282" s="24" t="str">
        <f>IFERROR(__xludf.DUMMYFUNCTION("""COMPUTED_VALUE"""),"#N/A")</f>
        <v>#N/A</v>
      </c>
    </row>
    <row r="283">
      <c r="A283" s="23"/>
      <c r="B283" s="23"/>
      <c r="C283" s="23"/>
      <c r="D283" s="23"/>
      <c r="E283" s="24" t="str">
        <f>IFERROR(__xludf.DUMMYFUNCTION("""COMPUTED_VALUE"""),"#N/A")</f>
        <v>#N/A</v>
      </c>
      <c r="F283" s="24" t="str">
        <f>IFERROR(__xludf.DUMMYFUNCTION("""COMPUTED_VALUE"""),"#N/A")</f>
        <v>#N/A</v>
      </c>
    </row>
    <row r="284">
      <c r="A284" s="23"/>
      <c r="B284" s="23"/>
      <c r="C284" s="23"/>
      <c r="D284" s="23"/>
      <c r="E284" s="24" t="str">
        <f>IFERROR(__xludf.DUMMYFUNCTION("""COMPUTED_VALUE"""),"#N/A")</f>
        <v>#N/A</v>
      </c>
      <c r="F284" s="24" t="str">
        <f>IFERROR(__xludf.DUMMYFUNCTION("""COMPUTED_VALUE"""),"#N/A")</f>
        <v>#N/A</v>
      </c>
    </row>
    <row r="285">
      <c r="A285" s="23"/>
      <c r="B285" s="23"/>
      <c r="C285" s="23"/>
      <c r="D285" s="23"/>
      <c r="E285" s="24" t="str">
        <f>IFERROR(__xludf.DUMMYFUNCTION("""COMPUTED_VALUE"""),"#N/A")</f>
        <v>#N/A</v>
      </c>
      <c r="F285" s="24" t="str">
        <f>IFERROR(__xludf.DUMMYFUNCTION("""COMPUTED_VALUE"""),"#N/A")</f>
        <v>#N/A</v>
      </c>
    </row>
    <row r="286">
      <c r="A286" s="23"/>
      <c r="B286" s="23"/>
      <c r="C286" s="23"/>
      <c r="D286" s="23"/>
      <c r="E286" s="24" t="str">
        <f>IFERROR(__xludf.DUMMYFUNCTION("""COMPUTED_VALUE"""),"#N/A")</f>
        <v>#N/A</v>
      </c>
      <c r="F286" s="24" t="str">
        <f>IFERROR(__xludf.DUMMYFUNCTION("""COMPUTED_VALUE"""),"#N/A")</f>
        <v>#N/A</v>
      </c>
    </row>
    <row r="287">
      <c r="A287" s="23"/>
      <c r="B287" s="23"/>
      <c r="C287" s="23"/>
      <c r="D287" s="23"/>
      <c r="E287" s="24" t="str">
        <f>IFERROR(__xludf.DUMMYFUNCTION("""COMPUTED_VALUE"""),"#N/A")</f>
        <v>#N/A</v>
      </c>
      <c r="F287" s="24" t="str">
        <f>IFERROR(__xludf.DUMMYFUNCTION("""COMPUTED_VALUE"""),"#N/A")</f>
        <v>#N/A</v>
      </c>
    </row>
    <row r="288">
      <c r="A288" s="23"/>
      <c r="B288" s="23"/>
      <c r="C288" s="23"/>
      <c r="D288" s="23"/>
      <c r="E288" s="24" t="str">
        <f>IFERROR(__xludf.DUMMYFUNCTION("""COMPUTED_VALUE"""),"#N/A")</f>
        <v>#N/A</v>
      </c>
      <c r="F288" s="24" t="str">
        <f>IFERROR(__xludf.DUMMYFUNCTION("""COMPUTED_VALUE"""),"#N/A")</f>
        <v>#N/A</v>
      </c>
    </row>
    <row r="289">
      <c r="A289" s="23"/>
      <c r="B289" s="23"/>
      <c r="C289" s="23"/>
      <c r="D289" s="23"/>
      <c r="E289" s="24" t="str">
        <f>IFERROR(__xludf.DUMMYFUNCTION("""COMPUTED_VALUE"""),"#N/A")</f>
        <v>#N/A</v>
      </c>
      <c r="F289" s="24" t="str">
        <f>IFERROR(__xludf.DUMMYFUNCTION("""COMPUTED_VALUE"""),"#N/A")</f>
        <v>#N/A</v>
      </c>
    </row>
    <row r="290">
      <c r="A290" s="23"/>
      <c r="B290" s="23"/>
      <c r="C290" s="23"/>
      <c r="D290" s="23"/>
      <c r="E290" s="24" t="str">
        <f>IFERROR(__xludf.DUMMYFUNCTION("""COMPUTED_VALUE"""),"#N/A")</f>
        <v>#N/A</v>
      </c>
      <c r="F290" s="24" t="str">
        <f>IFERROR(__xludf.DUMMYFUNCTION("""COMPUTED_VALUE"""),"#N/A")</f>
        <v>#N/A</v>
      </c>
    </row>
    <row r="291">
      <c r="A291" s="23"/>
      <c r="B291" s="23"/>
      <c r="C291" s="23"/>
      <c r="D291" s="23"/>
      <c r="E291" s="24" t="str">
        <f>IFERROR(__xludf.DUMMYFUNCTION("""COMPUTED_VALUE"""),"#N/A")</f>
        <v>#N/A</v>
      </c>
      <c r="F291" s="24" t="str">
        <f>IFERROR(__xludf.DUMMYFUNCTION("""COMPUTED_VALUE"""),"#N/A")</f>
        <v>#N/A</v>
      </c>
    </row>
    <row r="292">
      <c r="A292" s="23"/>
      <c r="B292" s="23"/>
      <c r="C292" s="23"/>
      <c r="D292" s="23"/>
      <c r="E292" s="24" t="str">
        <f>IFERROR(__xludf.DUMMYFUNCTION("""COMPUTED_VALUE"""),"#N/A")</f>
        <v>#N/A</v>
      </c>
      <c r="F292" s="24" t="str">
        <f>IFERROR(__xludf.DUMMYFUNCTION("""COMPUTED_VALUE"""),"#N/A")</f>
        <v>#N/A</v>
      </c>
    </row>
    <row r="293">
      <c r="A293" s="23"/>
      <c r="B293" s="23"/>
      <c r="C293" s="23"/>
      <c r="D293" s="23"/>
      <c r="E293" s="24" t="str">
        <f>IFERROR(__xludf.DUMMYFUNCTION("""COMPUTED_VALUE"""),"#N/A")</f>
        <v>#N/A</v>
      </c>
      <c r="F293" s="24" t="str">
        <f>IFERROR(__xludf.DUMMYFUNCTION("""COMPUTED_VALUE"""),"#N/A")</f>
        <v>#N/A</v>
      </c>
    </row>
    <row r="294">
      <c r="A294" s="23"/>
      <c r="B294" s="23"/>
      <c r="C294" s="23"/>
      <c r="D294" s="23"/>
      <c r="E294" s="24" t="str">
        <f>IFERROR(__xludf.DUMMYFUNCTION("""COMPUTED_VALUE"""),"#N/A")</f>
        <v>#N/A</v>
      </c>
      <c r="F294" s="24" t="str">
        <f>IFERROR(__xludf.DUMMYFUNCTION("""COMPUTED_VALUE"""),"#N/A")</f>
        <v>#N/A</v>
      </c>
    </row>
    <row r="295">
      <c r="A295" s="23"/>
      <c r="B295" s="23"/>
      <c r="C295" s="23"/>
      <c r="D295" s="23"/>
      <c r="E295" s="24" t="str">
        <f>IFERROR(__xludf.DUMMYFUNCTION("""COMPUTED_VALUE"""),"#N/A")</f>
        <v>#N/A</v>
      </c>
      <c r="F295" s="24" t="str">
        <f>IFERROR(__xludf.DUMMYFUNCTION("""COMPUTED_VALUE"""),"#N/A")</f>
        <v>#N/A</v>
      </c>
    </row>
    <row r="296">
      <c r="A296" s="23"/>
      <c r="B296" s="23"/>
      <c r="C296" s="23"/>
      <c r="D296" s="23"/>
      <c r="E296" s="24" t="str">
        <f>IFERROR(__xludf.DUMMYFUNCTION("""COMPUTED_VALUE"""),"#N/A")</f>
        <v>#N/A</v>
      </c>
      <c r="F296" s="24" t="str">
        <f>IFERROR(__xludf.DUMMYFUNCTION("""COMPUTED_VALUE"""),"#N/A")</f>
        <v>#N/A</v>
      </c>
    </row>
    <row r="297">
      <c r="A297" s="23"/>
      <c r="B297" s="23"/>
      <c r="C297" s="23"/>
      <c r="D297" s="23"/>
      <c r="E297" s="24" t="str">
        <f>IFERROR(__xludf.DUMMYFUNCTION("""COMPUTED_VALUE"""),"#N/A")</f>
        <v>#N/A</v>
      </c>
      <c r="F297" s="24" t="str">
        <f>IFERROR(__xludf.DUMMYFUNCTION("""COMPUTED_VALUE"""),"#N/A")</f>
        <v>#N/A</v>
      </c>
    </row>
    <row r="298">
      <c r="A298" s="23"/>
      <c r="B298" s="23"/>
      <c r="C298" s="23"/>
      <c r="D298" s="23"/>
      <c r="E298" s="24" t="str">
        <f>IFERROR(__xludf.DUMMYFUNCTION("""COMPUTED_VALUE"""),"#N/A")</f>
        <v>#N/A</v>
      </c>
      <c r="F298" s="24" t="str">
        <f>IFERROR(__xludf.DUMMYFUNCTION("""COMPUTED_VALUE"""),"#N/A")</f>
        <v>#N/A</v>
      </c>
    </row>
    <row r="299">
      <c r="A299" s="23"/>
      <c r="B299" s="23"/>
      <c r="C299" s="23"/>
      <c r="D299" s="23"/>
      <c r="E299" s="24" t="str">
        <f>IFERROR(__xludf.DUMMYFUNCTION("""COMPUTED_VALUE"""),"#N/A")</f>
        <v>#N/A</v>
      </c>
      <c r="F299" s="24" t="str">
        <f>IFERROR(__xludf.DUMMYFUNCTION("""COMPUTED_VALUE"""),"#N/A")</f>
        <v>#N/A</v>
      </c>
    </row>
    <row r="300">
      <c r="A300" s="23"/>
      <c r="B300" s="23"/>
      <c r="C300" s="23"/>
      <c r="D300" s="23"/>
      <c r="E300" s="24" t="str">
        <f>IFERROR(__xludf.DUMMYFUNCTION("""COMPUTED_VALUE"""),"#N/A")</f>
        <v>#N/A</v>
      </c>
      <c r="F300" s="24" t="str">
        <f>IFERROR(__xludf.DUMMYFUNCTION("""COMPUTED_VALUE"""),"#N/A")</f>
        <v>#N/A</v>
      </c>
    </row>
    <row r="301">
      <c r="A301" s="23"/>
      <c r="B301" s="23"/>
      <c r="C301" s="23"/>
      <c r="D301" s="23"/>
      <c r="E301" s="24" t="str">
        <f>IFERROR(__xludf.DUMMYFUNCTION("""COMPUTED_VALUE"""),"#N/A")</f>
        <v>#N/A</v>
      </c>
      <c r="F301" s="24" t="str">
        <f>IFERROR(__xludf.DUMMYFUNCTION("""COMPUTED_VALUE"""),"#N/A")</f>
        <v>#N/A</v>
      </c>
    </row>
    <row r="302">
      <c r="A302" s="23"/>
      <c r="B302" s="23"/>
      <c r="C302" s="23"/>
      <c r="D302" s="23"/>
      <c r="E302" s="24" t="str">
        <f>IFERROR(__xludf.DUMMYFUNCTION("""COMPUTED_VALUE"""),"#N/A")</f>
        <v>#N/A</v>
      </c>
      <c r="F302" s="24" t="str">
        <f>IFERROR(__xludf.DUMMYFUNCTION("""COMPUTED_VALUE"""),"#N/A")</f>
        <v>#N/A</v>
      </c>
    </row>
    <row r="303">
      <c r="A303" s="23"/>
      <c r="B303" s="23"/>
      <c r="C303" s="23"/>
      <c r="D303" s="23"/>
      <c r="E303" s="24" t="str">
        <f>IFERROR(__xludf.DUMMYFUNCTION("""COMPUTED_VALUE"""),"#N/A")</f>
        <v>#N/A</v>
      </c>
      <c r="F303" s="24" t="str">
        <f>IFERROR(__xludf.DUMMYFUNCTION("""COMPUTED_VALUE"""),"#N/A")</f>
        <v>#N/A</v>
      </c>
    </row>
    <row r="304">
      <c r="A304" s="23"/>
      <c r="B304" s="23"/>
      <c r="C304" s="23"/>
      <c r="D304" s="23"/>
      <c r="E304" s="24" t="str">
        <f>IFERROR(__xludf.DUMMYFUNCTION("""COMPUTED_VALUE"""),"#N/A")</f>
        <v>#N/A</v>
      </c>
      <c r="F304" s="24" t="str">
        <f>IFERROR(__xludf.DUMMYFUNCTION("""COMPUTED_VALUE"""),"#N/A")</f>
        <v>#N/A</v>
      </c>
    </row>
    <row r="305">
      <c r="A305" s="23"/>
      <c r="B305" s="23"/>
      <c r="C305" s="23"/>
      <c r="D305" s="23"/>
      <c r="E305" s="24" t="str">
        <f>IFERROR(__xludf.DUMMYFUNCTION("""COMPUTED_VALUE"""),"#N/A")</f>
        <v>#N/A</v>
      </c>
      <c r="F305" s="24" t="str">
        <f>IFERROR(__xludf.DUMMYFUNCTION("""COMPUTED_VALUE"""),"#N/A")</f>
        <v>#N/A</v>
      </c>
    </row>
    <row r="306">
      <c r="A306" s="23"/>
      <c r="B306" s="23"/>
      <c r="C306" s="23"/>
      <c r="D306" s="23"/>
      <c r="E306" s="24" t="str">
        <f>IFERROR(__xludf.DUMMYFUNCTION("""COMPUTED_VALUE"""),"#N/A")</f>
        <v>#N/A</v>
      </c>
      <c r="F306" s="24" t="str">
        <f>IFERROR(__xludf.DUMMYFUNCTION("""COMPUTED_VALUE"""),"#N/A")</f>
        <v>#N/A</v>
      </c>
    </row>
    <row r="307">
      <c r="A307" s="23"/>
      <c r="B307" s="23"/>
      <c r="C307" s="23"/>
      <c r="D307" s="23"/>
      <c r="E307" s="24" t="str">
        <f>IFERROR(__xludf.DUMMYFUNCTION("""COMPUTED_VALUE"""),"#N/A")</f>
        <v>#N/A</v>
      </c>
      <c r="F307" s="24" t="str">
        <f>IFERROR(__xludf.DUMMYFUNCTION("""COMPUTED_VALUE"""),"#N/A")</f>
        <v>#N/A</v>
      </c>
    </row>
    <row r="308">
      <c r="A308" s="23"/>
      <c r="B308" s="23"/>
      <c r="C308" s="23"/>
      <c r="D308" s="23"/>
      <c r="E308" s="24" t="str">
        <f>IFERROR(__xludf.DUMMYFUNCTION("""COMPUTED_VALUE"""),"#N/A")</f>
        <v>#N/A</v>
      </c>
      <c r="F308" s="24" t="str">
        <f>IFERROR(__xludf.DUMMYFUNCTION("""COMPUTED_VALUE"""),"#N/A")</f>
        <v>#N/A</v>
      </c>
    </row>
    <row r="309">
      <c r="A309" s="23"/>
      <c r="B309" s="23"/>
      <c r="C309" s="23"/>
      <c r="D309" s="23"/>
      <c r="E309" s="24" t="str">
        <f>IFERROR(__xludf.DUMMYFUNCTION("""COMPUTED_VALUE"""),"#N/A")</f>
        <v>#N/A</v>
      </c>
      <c r="F309" s="24" t="str">
        <f>IFERROR(__xludf.DUMMYFUNCTION("""COMPUTED_VALUE"""),"#N/A")</f>
        <v>#N/A</v>
      </c>
    </row>
    <row r="310">
      <c r="A310" s="23"/>
      <c r="B310" s="23"/>
      <c r="C310" s="23"/>
      <c r="D310" s="23"/>
      <c r="E310" s="24" t="str">
        <f>IFERROR(__xludf.DUMMYFUNCTION("""COMPUTED_VALUE"""),"#N/A")</f>
        <v>#N/A</v>
      </c>
      <c r="F310" s="24" t="str">
        <f>IFERROR(__xludf.DUMMYFUNCTION("""COMPUTED_VALUE"""),"#N/A")</f>
        <v>#N/A</v>
      </c>
    </row>
    <row r="311">
      <c r="A311" s="23"/>
      <c r="B311" s="23"/>
      <c r="C311" s="23"/>
      <c r="D311" s="23"/>
      <c r="E311" s="24" t="str">
        <f>IFERROR(__xludf.DUMMYFUNCTION("""COMPUTED_VALUE"""),"#N/A")</f>
        <v>#N/A</v>
      </c>
      <c r="F311" s="24" t="str">
        <f>IFERROR(__xludf.DUMMYFUNCTION("""COMPUTED_VALUE"""),"#N/A")</f>
        <v>#N/A</v>
      </c>
    </row>
    <row r="312">
      <c r="A312" s="23"/>
      <c r="B312" s="23"/>
      <c r="C312" s="23"/>
      <c r="D312" s="23"/>
      <c r="E312" s="24" t="str">
        <f>IFERROR(__xludf.DUMMYFUNCTION("""COMPUTED_VALUE"""),"#N/A")</f>
        <v>#N/A</v>
      </c>
      <c r="F312" s="24" t="str">
        <f>IFERROR(__xludf.DUMMYFUNCTION("""COMPUTED_VALUE"""),"#N/A")</f>
        <v>#N/A</v>
      </c>
    </row>
    <row r="313">
      <c r="A313" s="23"/>
      <c r="B313" s="23"/>
      <c r="C313" s="23"/>
      <c r="D313" s="23"/>
      <c r="E313" s="24" t="str">
        <f>IFERROR(__xludf.DUMMYFUNCTION("""COMPUTED_VALUE"""),"#N/A")</f>
        <v>#N/A</v>
      </c>
      <c r="F313" s="24" t="str">
        <f>IFERROR(__xludf.DUMMYFUNCTION("""COMPUTED_VALUE"""),"#N/A")</f>
        <v>#N/A</v>
      </c>
    </row>
    <row r="314">
      <c r="A314" s="23"/>
      <c r="B314" s="23"/>
      <c r="C314" s="23"/>
      <c r="D314" s="23"/>
      <c r="E314" s="24" t="str">
        <f>IFERROR(__xludf.DUMMYFUNCTION("""COMPUTED_VALUE"""),"#N/A")</f>
        <v>#N/A</v>
      </c>
      <c r="F314" s="24" t="str">
        <f>IFERROR(__xludf.DUMMYFUNCTION("""COMPUTED_VALUE"""),"#N/A")</f>
        <v>#N/A</v>
      </c>
    </row>
    <row r="315">
      <c r="A315" s="23"/>
      <c r="B315" s="23"/>
      <c r="C315" s="23"/>
      <c r="D315" s="23"/>
      <c r="E315" s="24" t="str">
        <f>IFERROR(__xludf.DUMMYFUNCTION("""COMPUTED_VALUE"""),"#N/A")</f>
        <v>#N/A</v>
      </c>
      <c r="F315" s="24" t="str">
        <f>IFERROR(__xludf.DUMMYFUNCTION("""COMPUTED_VALUE"""),"#N/A")</f>
        <v>#N/A</v>
      </c>
    </row>
    <row r="316">
      <c r="A316" s="23"/>
      <c r="B316" s="23"/>
      <c r="C316" s="23"/>
      <c r="D316" s="23"/>
      <c r="E316" s="24" t="str">
        <f>IFERROR(__xludf.DUMMYFUNCTION("""COMPUTED_VALUE"""),"#N/A")</f>
        <v>#N/A</v>
      </c>
      <c r="F316" s="24" t="str">
        <f>IFERROR(__xludf.DUMMYFUNCTION("""COMPUTED_VALUE"""),"#N/A")</f>
        <v>#N/A</v>
      </c>
    </row>
    <row r="317">
      <c r="A317" s="23"/>
      <c r="B317" s="23"/>
      <c r="C317" s="23"/>
      <c r="D317" s="23"/>
      <c r="E317" s="24" t="str">
        <f>IFERROR(__xludf.DUMMYFUNCTION("""COMPUTED_VALUE"""),"#N/A")</f>
        <v>#N/A</v>
      </c>
      <c r="F317" s="24" t="str">
        <f>IFERROR(__xludf.DUMMYFUNCTION("""COMPUTED_VALUE"""),"#N/A")</f>
        <v>#N/A</v>
      </c>
    </row>
    <row r="318">
      <c r="A318" s="23"/>
      <c r="B318" s="23"/>
      <c r="C318" s="23"/>
      <c r="D318" s="23"/>
      <c r="E318" s="24" t="str">
        <f>IFERROR(__xludf.DUMMYFUNCTION("""COMPUTED_VALUE"""),"#N/A")</f>
        <v>#N/A</v>
      </c>
      <c r="F318" s="24" t="str">
        <f>IFERROR(__xludf.DUMMYFUNCTION("""COMPUTED_VALUE"""),"#N/A")</f>
        <v>#N/A</v>
      </c>
    </row>
    <row r="319">
      <c r="A319" s="23"/>
      <c r="B319" s="23"/>
      <c r="C319" s="23"/>
      <c r="D319" s="23"/>
      <c r="E319" s="24" t="str">
        <f>IFERROR(__xludf.DUMMYFUNCTION("""COMPUTED_VALUE"""),"#N/A")</f>
        <v>#N/A</v>
      </c>
      <c r="F319" s="24" t="str">
        <f>IFERROR(__xludf.DUMMYFUNCTION("""COMPUTED_VALUE"""),"#N/A")</f>
        <v>#N/A</v>
      </c>
    </row>
    <row r="320">
      <c r="A320" s="23"/>
      <c r="B320" s="23"/>
      <c r="C320" s="23"/>
      <c r="D320" s="23"/>
      <c r="E320" s="24" t="str">
        <f>IFERROR(__xludf.DUMMYFUNCTION("""COMPUTED_VALUE"""),"#N/A")</f>
        <v>#N/A</v>
      </c>
      <c r="F320" s="24" t="str">
        <f>IFERROR(__xludf.DUMMYFUNCTION("""COMPUTED_VALUE"""),"#N/A")</f>
        <v>#N/A</v>
      </c>
    </row>
    <row r="321">
      <c r="A321" s="23"/>
      <c r="B321" s="23"/>
      <c r="C321" s="23"/>
      <c r="D321" s="23"/>
      <c r="E321" s="24" t="str">
        <f>IFERROR(__xludf.DUMMYFUNCTION("""COMPUTED_VALUE"""),"#N/A")</f>
        <v>#N/A</v>
      </c>
      <c r="F321" s="24" t="str">
        <f>IFERROR(__xludf.DUMMYFUNCTION("""COMPUTED_VALUE"""),"#N/A")</f>
        <v>#N/A</v>
      </c>
    </row>
    <row r="322">
      <c r="A322" s="23"/>
      <c r="B322" s="23"/>
      <c r="C322" s="23"/>
      <c r="D322" s="23"/>
      <c r="E322" s="24" t="str">
        <f>IFERROR(__xludf.DUMMYFUNCTION("""COMPUTED_VALUE"""),"#N/A")</f>
        <v>#N/A</v>
      </c>
      <c r="F322" s="24" t="str">
        <f>IFERROR(__xludf.DUMMYFUNCTION("""COMPUTED_VALUE"""),"#N/A")</f>
        <v>#N/A</v>
      </c>
    </row>
    <row r="323">
      <c r="A323" s="23"/>
      <c r="B323" s="23"/>
      <c r="C323" s="23"/>
      <c r="D323" s="23"/>
      <c r="E323" s="24" t="str">
        <f>IFERROR(__xludf.DUMMYFUNCTION("""COMPUTED_VALUE"""),"#N/A")</f>
        <v>#N/A</v>
      </c>
      <c r="F323" s="24" t="str">
        <f>IFERROR(__xludf.DUMMYFUNCTION("""COMPUTED_VALUE"""),"#N/A")</f>
        <v>#N/A</v>
      </c>
    </row>
    <row r="324">
      <c r="A324" s="23"/>
      <c r="B324" s="23"/>
      <c r="C324" s="23"/>
      <c r="D324" s="23"/>
      <c r="E324" s="24" t="str">
        <f>IFERROR(__xludf.DUMMYFUNCTION("""COMPUTED_VALUE"""),"#N/A")</f>
        <v>#N/A</v>
      </c>
      <c r="F324" s="24" t="str">
        <f>IFERROR(__xludf.DUMMYFUNCTION("""COMPUTED_VALUE"""),"#N/A")</f>
        <v>#N/A</v>
      </c>
    </row>
    <row r="325">
      <c r="A325" s="23"/>
      <c r="B325" s="23"/>
      <c r="C325" s="23"/>
      <c r="D325" s="23"/>
      <c r="E325" s="24" t="str">
        <f>IFERROR(__xludf.DUMMYFUNCTION("""COMPUTED_VALUE"""),"#N/A")</f>
        <v>#N/A</v>
      </c>
      <c r="F325" s="24" t="str">
        <f>IFERROR(__xludf.DUMMYFUNCTION("""COMPUTED_VALUE"""),"#N/A")</f>
        <v>#N/A</v>
      </c>
    </row>
    <row r="326">
      <c r="A326" s="23"/>
      <c r="B326" s="23"/>
      <c r="C326" s="23"/>
      <c r="D326" s="23"/>
      <c r="E326" s="24" t="str">
        <f>IFERROR(__xludf.DUMMYFUNCTION("""COMPUTED_VALUE"""),"#N/A")</f>
        <v>#N/A</v>
      </c>
      <c r="F326" s="24" t="str">
        <f>IFERROR(__xludf.DUMMYFUNCTION("""COMPUTED_VALUE"""),"#N/A")</f>
        <v>#N/A</v>
      </c>
    </row>
    <row r="327">
      <c r="A327" s="23"/>
      <c r="B327" s="23"/>
      <c r="C327" s="23"/>
      <c r="D327" s="23"/>
      <c r="E327" s="24" t="str">
        <f>IFERROR(__xludf.DUMMYFUNCTION("""COMPUTED_VALUE"""),"#N/A")</f>
        <v>#N/A</v>
      </c>
      <c r="F327" s="24" t="str">
        <f>IFERROR(__xludf.DUMMYFUNCTION("""COMPUTED_VALUE"""),"#N/A")</f>
        <v>#N/A</v>
      </c>
    </row>
    <row r="328">
      <c r="A328" s="23"/>
      <c r="B328" s="23"/>
      <c r="C328" s="23"/>
      <c r="D328" s="23"/>
      <c r="E328" s="24" t="str">
        <f>IFERROR(__xludf.DUMMYFUNCTION("""COMPUTED_VALUE"""),"#N/A")</f>
        <v>#N/A</v>
      </c>
      <c r="F328" s="24" t="str">
        <f>IFERROR(__xludf.DUMMYFUNCTION("""COMPUTED_VALUE"""),"#N/A")</f>
        <v>#N/A</v>
      </c>
    </row>
    <row r="329">
      <c r="A329" s="23"/>
      <c r="B329" s="23"/>
      <c r="C329" s="23"/>
      <c r="D329" s="23"/>
      <c r="E329" s="24" t="str">
        <f>IFERROR(__xludf.DUMMYFUNCTION("""COMPUTED_VALUE"""),"#N/A")</f>
        <v>#N/A</v>
      </c>
      <c r="F329" s="24" t="str">
        <f>IFERROR(__xludf.DUMMYFUNCTION("""COMPUTED_VALUE"""),"#N/A")</f>
        <v>#N/A</v>
      </c>
    </row>
    <row r="330">
      <c r="A330" s="23"/>
      <c r="B330" s="23"/>
      <c r="C330" s="23"/>
      <c r="D330" s="23"/>
      <c r="E330" s="24" t="str">
        <f>IFERROR(__xludf.DUMMYFUNCTION("""COMPUTED_VALUE"""),"#N/A")</f>
        <v>#N/A</v>
      </c>
      <c r="F330" s="24" t="str">
        <f>IFERROR(__xludf.DUMMYFUNCTION("""COMPUTED_VALUE"""),"#N/A")</f>
        <v>#N/A</v>
      </c>
    </row>
    <row r="331">
      <c r="A331" s="23"/>
      <c r="B331" s="23"/>
      <c r="C331" s="23"/>
      <c r="D331" s="23"/>
      <c r="E331" s="24" t="str">
        <f>IFERROR(__xludf.DUMMYFUNCTION("""COMPUTED_VALUE"""),"#N/A")</f>
        <v>#N/A</v>
      </c>
      <c r="F331" s="24" t="str">
        <f>IFERROR(__xludf.DUMMYFUNCTION("""COMPUTED_VALUE"""),"#N/A")</f>
        <v>#N/A</v>
      </c>
    </row>
    <row r="332">
      <c r="A332" s="23"/>
      <c r="B332" s="23"/>
      <c r="C332" s="23"/>
      <c r="D332" s="23"/>
      <c r="E332" s="24" t="str">
        <f>IFERROR(__xludf.DUMMYFUNCTION("""COMPUTED_VALUE"""),"#N/A")</f>
        <v>#N/A</v>
      </c>
      <c r="F332" s="24" t="str">
        <f>IFERROR(__xludf.DUMMYFUNCTION("""COMPUTED_VALUE"""),"#N/A")</f>
        <v>#N/A</v>
      </c>
    </row>
    <row r="333">
      <c r="A333" s="23"/>
      <c r="B333" s="23"/>
      <c r="C333" s="23"/>
      <c r="D333" s="23"/>
      <c r="E333" s="24" t="str">
        <f>IFERROR(__xludf.DUMMYFUNCTION("""COMPUTED_VALUE"""),"#N/A")</f>
        <v>#N/A</v>
      </c>
      <c r="F333" s="24" t="str">
        <f>IFERROR(__xludf.DUMMYFUNCTION("""COMPUTED_VALUE"""),"#N/A")</f>
        <v>#N/A</v>
      </c>
    </row>
    <row r="334">
      <c r="A334" s="23"/>
      <c r="B334" s="23"/>
      <c r="C334" s="23"/>
      <c r="D334" s="23"/>
      <c r="E334" s="24" t="str">
        <f>IFERROR(__xludf.DUMMYFUNCTION("""COMPUTED_VALUE"""),"#N/A")</f>
        <v>#N/A</v>
      </c>
      <c r="F334" s="24" t="str">
        <f>IFERROR(__xludf.DUMMYFUNCTION("""COMPUTED_VALUE"""),"#N/A")</f>
        <v>#N/A</v>
      </c>
    </row>
    <row r="335">
      <c r="A335" s="23"/>
      <c r="B335" s="23"/>
      <c r="C335" s="23"/>
      <c r="D335" s="23"/>
      <c r="E335" s="24" t="str">
        <f>IFERROR(__xludf.DUMMYFUNCTION("""COMPUTED_VALUE"""),"#N/A")</f>
        <v>#N/A</v>
      </c>
      <c r="F335" s="24" t="str">
        <f>IFERROR(__xludf.DUMMYFUNCTION("""COMPUTED_VALUE"""),"#N/A")</f>
        <v>#N/A</v>
      </c>
    </row>
    <row r="336">
      <c r="A336" s="23"/>
      <c r="B336" s="23"/>
      <c r="C336" s="23"/>
      <c r="D336" s="23"/>
      <c r="E336" s="24" t="str">
        <f>IFERROR(__xludf.DUMMYFUNCTION("""COMPUTED_VALUE"""),"#N/A")</f>
        <v>#N/A</v>
      </c>
      <c r="F336" s="24" t="str">
        <f>IFERROR(__xludf.DUMMYFUNCTION("""COMPUTED_VALUE"""),"#N/A")</f>
        <v>#N/A</v>
      </c>
    </row>
    <row r="337">
      <c r="A337" s="23"/>
      <c r="B337" s="23"/>
      <c r="C337" s="23"/>
      <c r="D337" s="23"/>
      <c r="E337" s="24" t="str">
        <f>IFERROR(__xludf.DUMMYFUNCTION("""COMPUTED_VALUE"""),"#N/A")</f>
        <v>#N/A</v>
      </c>
      <c r="F337" s="24" t="str">
        <f>IFERROR(__xludf.DUMMYFUNCTION("""COMPUTED_VALUE"""),"#N/A")</f>
        <v>#N/A</v>
      </c>
    </row>
    <row r="338">
      <c r="A338" s="23"/>
      <c r="B338" s="23"/>
      <c r="C338" s="23"/>
      <c r="D338" s="23"/>
      <c r="E338" s="24" t="str">
        <f>IFERROR(__xludf.DUMMYFUNCTION("""COMPUTED_VALUE"""),"#N/A")</f>
        <v>#N/A</v>
      </c>
      <c r="F338" s="24" t="str">
        <f>IFERROR(__xludf.DUMMYFUNCTION("""COMPUTED_VALUE"""),"#N/A")</f>
        <v>#N/A</v>
      </c>
    </row>
    <row r="339">
      <c r="A339" s="23"/>
      <c r="B339" s="23"/>
      <c r="C339" s="23"/>
      <c r="D339" s="23"/>
      <c r="E339" s="24" t="str">
        <f>IFERROR(__xludf.DUMMYFUNCTION("""COMPUTED_VALUE"""),"#N/A")</f>
        <v>#N/A</v>
      </c>
      <c r="F339" s="24" t="str">
        <f>IFERROR(__xludf.DUMMYFUNCTION("""COMPUTED_VALUE"""),"#N/A")</f>
        <v>#N/A</v>
      </c>
    </row>
    <row r="340">
      <c r="A340" s="23"/>
      <c r="B340" s="23"/>
      <c r="C340" s="23"/>
      <c r="D340" s="23"/>
      <c r="E340" s="24" t="str">
        <f>IFERROR(__xludf.DUMMYFUNCTION("""COMPUTED_VALUE"""),"#N/A")</f>
        <v>#N/A</v>
      </c>
      <c r="F340" s="24" t="str">
        <f>IFERROR(__xludf.DUMMYFUNCTION("""COMPUTED_VALUE"""),"#N/A")</f>
        <v>#N/A</v>
      </c>
    </row>
    <row r="341">
      <c r="A341" s="23"/>
      <c r="B341" s="23"/>
      <c r="C341" s="23"/>
      <c r="D341" s="23"/>
      <c r="E341" s="24" t="str">
        <f>IFERROR(__xludf.DUMMYFUNCTION("""COMPUTED_VALUE"""),"#N/A")</f>
        <v>#N/A</v>
      </c>
      <c r="F341" s="24" t="str">
        <f>IFERROR(__xludf.DUMMYFUNCTION("""COMPUTED_VALUE"""),"#N/A")</f>
        <v>#N/A</v>
      </c>
    </row>
    <row r="342">
      <c r="A342" s="23"/>
      <c r="B342" s="23"/>
      <c r="C342" s="23"/>
      <c r="D342" s="23"/>
      <c r="E342" s="24" t="str">
        <f>IFERROR(__xludf.DUMMYFUNCTION("""COMPUTED_VALUE"""),"#N/A")</f>
        <v>#N/A</v>
      </c>
      <c r="F342" s="24" t="str">
        <f>IFERROR(__xludf.DUMMYFUNCTION("""COMPUTED_VALUE"""),"#N/A")</f>
        <v>#N/A</v>
      </c>
    </row>
    <row r="343">
      <c r="A343" s="23"/>
      <c r="B343" s="23"/>
      <c r="C343" s="23"/>
      <c r="D343" s="23"/>
      <c r="E343" s="24" t="str">
        <f>IFERROR(__xludf.DUMMYFUNCTION("""COMPUTED_VALUE"""),"#N/A")</f>
        <v>#N/A</v>
      </c>
      <c r="F343" s="24" t="str">
        <f>IFERROR(__xludf.DUMMYFUNCTION("""COMPUTED_VALUE"""),"#N/A")</f>
        <v>#N/A</v>
      </c>
    </row>
    <row r="344">
      <c r="A344" s="23"/>
      <c r="B344" s="23"/>
      <c r="C344" s="23"/>
      <c r="D344" s="23"/>
      <c r="E344" s="24" t="str">
        <f>IFERROR(__xludf.DUMMYFUNCTION("""COMPUTED_VALUE"""),"#N/A")</f>
        <v>#N/A</v>
      </c>
      <c r="F344" s="24" t="str">
        <f>IFERROR(__xludf.DUMMYFUNCTION("""COMPUTED_VALUE"""),"#N/A")</f>
        <v>#N/A</v>
      </c>
    </row>
    <row r="345">
      <c r="A345" s="23"/>
      <c r="B345" s="23"/>
      <c r="C345" s="23"/>
      <c r="D345" s="23"/>
      <c r="E345" s="24" t="str">
        <f>IFERROR(__xludf.DUMMYFUNCTION("""COMPUTED_VALUE"""),"#N/A")</f>
        <v>#N/A</v>
      </c>
      <c r="F345" s="24" t="str">
        <f>IFERROR(__xludf.DUMMYFUNCTION("""COMPUTED_VALUE"""),"#N/A")</f>
        <v>#N/A</v>
      </c>
    </row>
    <row r="346">
      <c r="A346" s="23"/>
      <c r="B346" s="23"/>
      <c r="C346" s="23"/>
      <c r="D346" s="23"/>
      <c r="E346" s="24" t="str">
        <f>IFERROR(__xludf.DUMMYFUNCTION("""COMPUTED_VALUE"""),"#N/A")</f>
        <v>#N/A</v>
      </c>
      <c r="F346" s="24" t="str">
        <f>IFERROR(__xludf.DUMMYFUNCTION("""COMPUTED_VALUE"""),"#N/A")</f>
        <v>#N/A</v>
      </c>
    </row>
    <row r="347">
      <c r="A347" s="23"/>
      <c r="B347" s="23"/>
      <c r="C347" s="23"/>
      <c r="D347" s="23"/>
      <c r="E347" s="24" t="str">
        <f>IFERROR(__xludf.DUMMYFUNCTION("""COMPUTED_VALUE"""),"#N/A")</f>
        <v>#N/A</v>
      </c>
      <c r="F347" s="24" t="str">
        <f>IFERROR(__xludf.DUMMYFUNCTION("""COMPUTED_VALUE"""),"#N/A")</f>
        <v>#N/A</v>
      </c>
    </row>
    <row r="348">
      <c r="A348" s="23"/>
      <c r="B348" s="23"/>
      <c r="C348" s="23"/>
      <c r="D348" s="23"/>
      <c r="E348" s="24" t="str">
        <f>IFERROR(__xludf.DUMMYFUNCTION("""COMPUTED_VALUE"""),"#N/A")</f>
        <v>#N/A</v>
      </c>
      <c r="F348" s="24" t="str">
        <f>IFERROR(__xludf.DUMMYFUNCTION("""COMPUTED_VALUE"""),"#N/A")</f>
        <v>#N/A</v>
      </c>
    </row>
    <row r="349">
      <c r="A349" s="23"/>
      <c r="B349" s="23"/>
      <c r="C349" s="23"/>
      <c r="D349" s="23"/>
      <c r="E349" s="24" t="str">
        <f>IFERROR(__xludf.DUMMYFUNCTION("""COMPUTED_VALUE"""),"#N/A")</f>
        <v>#N/A</v>
      </c>
      <c r="F349" s="24" t="str">
        <f>IFERROR(__xludf.DUMMYFUNCTION("""COMPUTED_VALUE"""),"#N/A")</f>
        <v>#N/A</v>
      </c>
    </row>
    <row r="350">
      <c r="A350" s="23"/>
      <c r="B350" s="23"/>
      <c r="C350" s="23"/>
      <c r="D350" s="23"/>
      <c r="E350" s="24" t="str">
        <f>IFERROR(__xludf.DUMMYFUNCTION("""COMPUTED_VALUE"""),"#N/A")</f>
        <v>#N/A</v>
      </c>
      <c r="F350" s="24" t="str">
        <f>IFERROR(__xludf.DUMMYFUNCTION("""COMPUTED_VALUE"""),"#N/A")</f>
        <v>#N/A</v>
      </c>
    </row>
    <row r="351">
      <c r="A351" s="23"/>
      <c r="B351" s="23"/>
      <c r="C351" s="23"/>
      <c r="D351" s="23"/>
      <c r="E351" s="24" t="str">
        <f>IFERROR(__xludf.DUMMYFUNCTION("""COMPUTED_VALUE"""),"#N/A")</f>
        <v>#N/A</v>
      </c>
      <c r="F351" s="24" t="str">
        <f>IFERROR(__xludf.DUMMYFUNCTION("""COMPUTED_VALUE"""),"#N/A")</f>
        <v>#N/A</v>
      </c>
    </row>
    <row r="352">
      <c r="A352" s="23"/>
      <c r="B352" s="23"/>
      <c r="C352" s="23"/>
      <c r="D352" s="23"/>
      <c r="E352" s="24" t="str">
        <f>IFERROR(__xludf.DUMMYFUNCTION("""COMPUTED_VALUE"""),"#N/A")</f>
        <v>#N/A</v>
      </c>
      <c r="F352" s="24" t="str">
        <f>IFERROR(__xludf.DUMMYFUNCTION("""COMPUTED_VALUE"""),"#N/A")</f>
        <v>#N/A</v>
      </c>
    </row>
    <row r="353">
      <c r="A353" s="23"/>
      <c r="B353" s="23"/>
      <c r="C353" s="23"/>
      <c r="D353" s="23"/>
      <c r="E353" s="24" t="str">
        <f>IFERROR(__xludf.DUMMYFUNCTION("""COMPUTED_VALUE"""),"#N/A")</f>
        <v>#N/A</v>
      </c>
      <c r="F353" s="24" t="str">
        <f>IFERROR(__xludf.DUMMYFUNCTION("""COMPUTED_VALUE"""),"#N/A")</f>
        <v>#N/A</v>
      </c>
    </row>
    <row r="354">
      <c r="A354" s="23"/>
      <c r="B354" s="23"/>
      <c r="C354" s="23"/>
      <c r="D354" s="23"/>
      <c r="E354" s="24" t="str">
        <f>IFERROR(__xludf.DUMMYFUNCTION("""COMPUTED_VALUE"""),"#N/A")</f>
        <v>#N/A</v>
      </c>
      <c r="F354" s="24" t="str">
        <f>IFERROR(__xludf.DUMMYFUNCTION("""COMPUTED_VALUE"""),"#N/A")</f>
        <v>#N/A</v>
      </c>
    </row>
    <row r="355">
      <c r="A355" s="23"/>
      <c r="B355" s="23"/>
      <c r="C355" s="23"/>
      <c r="D355" s="23"/>
      <c r="E355" s="24" t="str">
        <f>IFERROR(__xludf.DUMMYFUNCTION("""COMPUTED_VALUE"""),"#N/A")</f>
        <v>#N/A</v>
      </c>
      <c r="F355" s="24" t="str">
        <f>IFERROR(__xludf.DUMMYFUNCTION("""COMPUTED_VALUE"""),"#N/A")</f>
        <v>#N/A</v>
      </c>
    </row>
    <row r="356">
      <c r="A356" s="23"/>
      <c r="B356" s="23"/>
      <c r="C356" s="23"/>
      <c r="D356" s="23"/>
      <c r="E356" s="24" t="str">
        <f>IFERROR(__xludf.DUMMYFUNCTION("""COMPUTED_VALUE"""),"#N/A")</f>
        <v>#N/A</v>
      </c>
      <c r="F356" s="24" t="str">
        <f>IFERROR(__xludf.DUMMYFUNCTION("""COMPUTED_VALUE"""),"#N/A")</f>
        <v>#N/A</v>
      </c>
    </row>
    <row r="357">
      <c r="A357" s="23"/>
      <c r="B357" s="23"/>
      <c r="C357" s="23"/>
      <c r="D357" s="23"/>
      <c r="E357" s="24" t="str">
        <f>IFERROR(__xludf.DUMMYFUNCTION("""COMPUTED_VALUE"""),"#N/A")</f>
        <v>#N/A</v>
      </c>
      <c r="F357" s="24" t="str">
        <f>IFERROR(__xludf.DUMMYFUNCTION("""COMPUTED_VALUE"""),"#N/A")</f>
        <v>#N/A</v>
      </c>
    </row>
    <row r="358">
      <c r="A358" s="23"/>
      <c r="B358" s="23"/>
      <c r="C358" s="23"/>
      <c r="D358" s="23"/>
      <c r="E358" s="24" t="str">
        <f>IFERROR(__xludf.DUMMYFUNCTION("""COMPUTED_VALUE"""),"#N/A")</f>
        <v>#N/A</v>
      </c>
      <c r="F358" s="24" t="str">
        <f>IFERROR(__xludf.DUMMYFUNCTION("""COMPUTED_VALUE"""),"#N/A")</f>
        <v>#N/A</v>
      </c>
    </row>
    <row r="359">
      <c r="A359" s="23"/>
      <c r="B359" s="23"/>
      <c r="C359" s="23"/>
      <c r="D359" s="23"/>
      <c r="E359" s="24" t="str">
        <f>IFERROR(__xludf.DUMMYFUNCTION("""COMPUTED_VALUE"""),"#N/A")</f>
        <v>#N/A</v>
      </c>
      <c r="F359" s="24" t="str">
        <f>IFERROR(__xludf.DUMMYFUNCTION("""COMPUTED_VALUE"""),"#N/A")</f>
        <v>#N/A</v>
      </c>
    </row>
    <row r="360">
      <c r="A360" s="23"/>
      <c r="B360" s="23"/>
      <c r="C360" s="23"/>
      <c r="D360" s="23"/>
      <c r="E360" s="24" t="str">
        <f>IFERROR(__xludf.DUMMYFUNCTION("""COMPUTED_VALUE"""),"#N/A")</f>
        <v>#N/A</v>
      </c>
      <c r="F360" s="24" t="str">
        <f>IFERROR(__xludf.DUMMYFUNCTION("""COMPUTED_VALUE"""),"#N/A")</f>
        <v>#N/A</v>
      </c>
    </row>
    <row r="361">
      <c r="A361" s="23"/>
      <c r="B361" s="23"/>
      <c r="C361" s="23"/>
      <c r="D361" s="23"/>
      <c r="E361" s="24" t="str">
        <f>IFERROR(__xludf.DUMMYFUNCTION("""COMPUTED_VALUE"""),"#N/A")</f>
        <v>#N/A</v>
      </c>
      <c r="F361" s="24" t="str">
        <f>IFERROR(__xludf.DUMMYFUNCTION("""COMPUTED_VALUE"""),"#N/A")</f>
        <v>#N/A</v>
      </c>
    </row>
    <row r="362">
      <c r="A362" s="23"/>
      <c r="B362" s="23"/>
      <c r="C362" s="23"/>
      <c r="D362" s="23"/>
      <c r="E362" s="24" t="str">
        <f>IFERROR(__xludf.DUMMYFUNCTION("""COMPUTED_VALUE"""),"#N/A")</f>
        <v>#N/A</v>
      </c>
      <c r="F362" s="24" t="str">
        <f>IFERROR(__xludf.DUMMYFUNCTION("""COMPUTED_VALUE"""),"#N/A")</f>
        <v>#N/A</v>
      </c>
    </row>
    <row r="363">
      <c r="A363" s="23"/>
      <c r="B363" s="23"/>
      <c r="C363" s="23"/>
      <c r="D363" s="23"/>
      <c r="E363" s="24" t="str">
        <f>IFERROR(__xludf.DUMMYFUNCTION("""COMPUTED_VALUE"""),"#N/A")</f>
        <v>#N/A</v>
      </c>
      <c r="F363" s="24" t="str">
        <f>IFERROR(__xludf.DUMMYFUNCTION("""COMPUTED_VALUE"""),"#N/A")</f>
        <v>#N/A</v>
      </c>
    </row>
    <row r="364">
      <c r="A364" s="23"/>
      <c r="B364" s="23"/>
      <c r="C364" s="23"/>
      <c r="D364" s="23"/>
      <c r="E364" s="24" t="str">
        <f>IFERROR(__xludf.DUMMYFUNCTION("""COMPUTED_VALUE"""),"#N/A")</f>
        <v>#N/A</v>
      </c>
      <c r="F364" s="24" t="str">
        <f>IFERROR(__xludf.DUMMYFUNCTION("""COMPUTED_VALUE"""),"#N/A")</f>
        <v>#N/A</v>
      </c>
    </row>
    <row r="365">
      <c r="A365" s="23"/>
      <c r="B365" s="23"/>
      <c r="C365" s="23"/>
      <c r="D365" s="23"/>
      <c r="E365" s="24" t="str">
        <f>IFERROR(__xludf.DUMMYFUNCTION("""COMPUTED_VALUE"""),"#N/A")</f>
        <v>#N/A</v>
      </c>
      <c r="F365" s="24" t="str">
        <f>IFERROR(__xludf.DUMMYFUNCTION("""COMPUTED_VALUE"""),"#N/A")</f>
        <v>#N/A</v>
      </c>
    </row>
    <row r="366">
      <c r="A366" s="23"/>
      <c r="B366" s="23"/>
      <c r="C366" s="23"/>
      <c r="D366" s="23"/>
      <c r="E366" s="24" t="str">
        <f>IFERROR(__xludf.DUMMYFUNCTION("""COMPUTED_VALUE"""),"#N/A")</f>
        <v>#N/A</v>
      </c>
      <c r="F366" s="24" t="str">
        <f>IFERROR(__xludf.DUMMYFUNCTION("""COMPUTED_VALUE"""),"#N/A")</f>
        <v>#N/A</v>
      </c>
    </row>
    <row r="367">
      <c r="A367" s="23"/>
      <c r="B367" s="23"/>
      <c r="C367" s="23"/>
      <c r="D367" s="23"/>
      <c r="E367" s="24" t="str">
        <f>IFERROR(__xludf.DUMMYFUNCTION("""COMPUTED_VALUE"""),"#N/A")</f>
        <v>#N/A</v>
      </c>
      <c r="F367" s="24" t="str">
        <f>IFERROR(__xludf.DUMMYFUNCTION("""COMPUTED_VALUE"""),"#N/A")</f>
        <v>#N/A</v>
      </c>
    </row>
    <row r="368">
      <c r="A368" s="23"/>
      <c r="B368" s="23"/>
      <c r="C368" s="23"/>
      <c r="D368" s="23"/>
      <c r="E368" s="24" t="str">
        <f>IFERROR(__xludf.DUMMYFUNCTION("""COMPUTED_VALUE"""),"#N/A")</f>
        <v>#N/A</v>
      </c>
      <c r="F368" s="24" t="str">
        <f>IFERROR(__xludf.DUMMYFUNCTION("""COMPUTED_VALUE"""),"#N/A")</f>
        <v>#N/A</v>
      </c>
    </row>
    <row r="369">
      <c r="A369" s="23"/>
      <c r="B369" s="23"/>
      <c r="C369" s="23"/>
      <c r="D369" s="23"/>
      <c r="E369" s="24" t="str">
        <f>IFERROR(__xludf.DUMMYFUNCTION("""COMPUTED_VALUE"""),"#N/A")</f>
        <v>#N/A</v>
      </c>
      <c r="F369" s="24" t="str">
        <f>IFERROR(__xludf.DUMMYFUNCTION("""COMPUTED_VALUE"""),"#N/A")</f>
        <v>#N/A</v>
      </c>
    </row>
    <row r="370">
      <c r="A370" s="23"/>
      <c r="B370" s="23"/>
      <c r="C370" s="23"/>
      <c r="D370" s="23"/>
      <c r="E370" s="24" t="str">
        <f>IFERROR(__xludf.DUMMYFUNCTION("""COMPUTED_VALUE"""),"#N/A")</f>
        <v>#N/A</v>
      </c>
      <c r="F370" s="24" t="str">
        <f>IFERROR(__xludf.DUMMYFUNCTION("""COMPUTED_VALUE"""),"#N/A")</f>
        <v>#N/A</v>
      </c>
    </row>
    <row r="371">
      <c r="A371" s="23"/>
      <c r="B371" s="23"/>
      <c r="C371" s="23"/>
      <c r="D371" s="23"/>
      <c r="E371" s="24" t="str">
        <f>IFERROR(__xludf.DUMMYFUNCTION("""COMPUTED_VALUE"""),"#N/A")</f>
        <v>#N/A</v>
      </c>
      <c r="F371" s="24" t="str">
        <f>IFERROR(__xludf.DUMMYFUNCTION("""COMPUTED_VALUE"""),"#N/A")</f>
        <v>#N/A</v>
      </c>
    </row>
    <row r="372">
      <c r="A372" s="23"/>
      <c r="B372" s="23"/>
      <c r="C372" s="23"/>
      <c r="D372" s="23"/>
      <c r="E372" s="24" t="str">
        <f>IFERROR(__xludf.DUMMYFUNCTION("""COMPUTED_VALUE"""),"#N/A")</f>
        <v>#N/A</v>
      </c>
      <c r="F372" s="24" t="str">
        <f>IFERROR(__xludf.DUMMYFUNCTION("""COMPUTED_VALUE"""),"#N/A")</f>
        <v>#N/A</v>
      </c>
    </row>
    <row r="373">
      <c r="A373" s="23"/>
      <c r="B373" s="23"/>
      <c r="C373" s="23"/>
      <c r="D373" s="23"/>
      <c r="E373" s="24" t="str">
        <f>IFERROR(__xludf.DUMMYFUNCTION("""COMPUTED_VALUE"""),"#N/A")</f>
        <v>#N/A</v>
      </c>
      <c r="F373" s="24" t="str">
        <f>IFERROR(__xludf.DUMMYFUNCTION("""COMPUTED_VALUE"""),"#N/A")</f>
        <v>#N/A</v>
      </c>
    </row>
    <row r="374">
      <c r="A374" s="23"/>
      <c r="B374" s="23"/>
      <c r="C374" s="23"/>
      <c r="D374" s="23"/>
      <c r="E374" s="24" t="str">
        <f>IFERROR(__xludf.DUMMYFUNCTION("""COMPUTED_VALUE"""),"#N/A")</f>
        <v>#N/A</v>
      </c>
      <c r="F374" s="24" t="str">
        <f>IFERROR(__xludf.DUMMYFUNCTION("""COMPUTED_VALUE"""),"#N/A")</f>
        <v>#N/A</v>
      </c>
    </row>
    <row r="375">
      <c r="A375" s="23"/>
      <c r="B375" s="23"/>
      <c r="C375" s="23"/>
      <c r="D375" s="23"/>
      <c r="E375" s="24" t="str">
        <f>IFERROR(__xludf.DUMMYFUNCTION("""COMPUTED_VALUE"""),"#N/A")</f>
        <v>#N/A</v>
      </c>
      <c r="F375" s="24" t="str">
        <f>IFERROR(__xludf.DUMMYFUNCTION("""COMPUTED_VALUE"""),"#N/A")</f>
        <v>#N/A</v>
      </c>
    </row>
    <row r="376">
      <c r="A376" s="23"/>
      <c r="B376" s="23"/>
      <c r="C376" s="23"/>
      <c r="D376" s="23"/>
      <c r="E376" s="24" t="str">
        <f>IFERROR(__xludf.DUMMYFUNCTION("""COMPUTED_VALUE"""),"#N/A")</f>
        <v>#N/A</v>
      </c>
      <c r="F376" s="24" t="str">
        <f>IFERROR(__xludf.DUMMYFUNCTION("""COMPUTED_VALUE"""),"#N/A")</f>
        <v>#N/A</v>
      </c>
    </row>
    <row r="377">
      <c r="A377" s="23"/>
      <c r="B377" s="23"/>
      <c r="C377" s="23"/>
      <c r="D377" s="23"/>
      <c r="E377" s="24" t="str">
        <f>IFERROR(__xludf.DUMMYFUNCTION("""COMPUTED_VALUE"""),"#N/A")</f>
        <v>#N/A</v>
      </c>
      <c r="F377" s="24" t="str">
        <f>IFERROR(__xludf.DUMMYFUNCTION("""COMPUTED_VALUE"""),"#N/A")</f>
        <v>#N/A</v>
      </c>
    </row>
    <row r="378">
      <c r="A378" s="23"/>
      <c r="B378" s="23"/>
      <c r="C378" s="23"/>
      <c r="D378" s="23"/>
      <c r="E378" s="24" t="str">
        <f>IFERROR(__xludf.DUMMYFUNCTION("""COMPUTED_VALUE"""),"#N/A")</f>
        <v>#N/A</v>
      </c>
      <c r="F378" s="24" t="str">
        <f>IFERROR(__xludf.DUMMYFUNCTION("""COMPUTED_VALUE"""),"#N/A")</f>
        <v>#N/A</v>
      </c>
    </row>
    <row r="379">
      <c r="A379" s="23"/>
      <c r="B379" s="23"/>
      <c r="C379" s="23"/>
      <c r="D379" s="23"/>
      <c r="E379" s="24" t="str">
        <f>IFERROR(__xludf.DUMMYFUNCTION("""COMPUTED_VALUE"""),"#N/A")</f>
        <v>#N/A</v>
      </c>
      <c r="F379" s="24" t="str">
        <f>IFERROR(__xludf.DUMMYFUNCTION("""COMPUTED_VALUE"""),"#N/A")</f>
        <v>#N/A</v>
      </c>
    </row>
    <row r="380">
      <c r="A380" s="23"/>
      <c r="B380" s="23"/>
      <c r="C380" s="23"/>
      <c r="D380" s="23"/>
      <c r="E380" s="24" t="str">
        <f>IFERROR(__xludf.DUMMYFUNCTION("""COMPUTED_VALUE"""),"#N/A")</f>
        <v>#N/A</v>
      </c>
      <c r="F380" s="24" t="str">
        <f>IFERROR(__xludf.DUMMYFUNCTION("""COMPUTED_VALUE"""),"#N/A")</f>
        <v>#N/A</v>
      </c>
    </row>
    <row r="381">
      <c r="A381" s="23"/>
      <c r="B381" s="23"/>
      <c r="C381" s="23"/>
      <c r="D381" s="23"/>
      <c r="E381" s="24" t="str">
        <f>IFERROR(__xludf.DUMMYFUNCTION("""COMPUTED_VALUE"""),"#N/A")</f>
        <v>#N/A</v>
      </c>
      <c r="F381" s="24" t="str">
        <f>IFERROR(__xludf.DUMMYFUNCTION("""COMPUTED_VALUE"""),"#N/A")</f>
        <v>#N/A</v>
      </c>
    </row>
    <row r="382">
      <c r="A382" s="23"/>
      <c r="B382" s="23"/>
      <c r="C382" s="23"/>
      <c r="D382" s="23"/>
      <c r="E382" s="24" t="str">
        <f>IFERROR(__xludf.DUMMYFUNCTION("""COMPUTED_VALUE"""),"#N/A")</f>
        <v>#N/A</v>
      </c>
      <c r="F382" s="24" t="str">
        <f>IFERROR(__xludf.DUMMYFUNCTION("""COMPUTED_VALUE"""),"#N/A")</f>
        <v>#N/A</v>
      </c>
    </row>
    <row r="383">
      <c r="A383" s="23"/>
      <c r="B383" s="23"/>
      <c r="C383" s="23"/>
      <c r="D383" s="23"/>
      <c r="E383" s="24" t="str">
        <f>IFERROR(__xludf.DUMMYFUNCTION("""COMPUTED_VALUE"""),"#N/A")</f>
        <v>#N/A</v>
      </c>
      <c r="F383" s="24" t="str">
        <f>IFERROR(__xludf.DUMMYFUNCTION("""COMPUTED_VALUE"""),"#N/A")</f>
        <v>#N/A</v>
      </c>
    </row>
    <row r="384">
      <c r="A384" s="23"/>
      <c r="B384" s="23"/>
      <c r="C384" s="23"/>
      <c r="D384" s="23"/>
      <c r="E384" s="24" t="str">
        <f>IFERROR(__xludf.DUMMYFUNCTION("""COMPUTED_VALUE"""),"#N/A")</f>
        <v>#N/A</v>
      </c>
      <c r="F384" s="24" t="str">
        <f>IFERROR(__xludf.DUMMYFUNCTION("""COMPUTED_VALUE"""),"#N/A")</f>
        <v>#N/A</v>
      </c>
    </row>
    <row r="385">
      <c r="A385" s="23"/>
      <c r="B385" s="23"/>
      <c r="C385" s="23"/>
      <c r="D385" s="23"/>
      <c r="E385" s="24" t="str">
        <f>IFERROR(__xludf.DUMMYFUNCTION("""COMPUTED_VALUE"""),"#N/A")</f>
        <v>#N/A</v>
      </c>
      <c r="F385" s="24" t="str">
        <f>IFERROR(__xludf.DUMMYFUNCTION("""COMPUTED_VALUE"""),"#N/A")</f>
        <v>#N/A</v>
      </c>
    </row>
    <row r="386">
      <c r="A386" s="23"/>
      <c r="B386" s="23"/>
      <c r="C386" s="23"/>
      <c r="D386" s="23"/>
      <c r="E386" s="24" t="str">
        <f>IFERROR(__xludf.DUMMYFUNCTION("""COMPUTED_VALUE"""),"#N/A")</f>
        <v>#N/A</v>
      </c>
      <c r="F386" s="24" t="str">
        <f>IFERROR(__xludf.DUMMYFUNCTION("""COMPUTED_VALUE"""),"#N/A")</f>
        <v>#N/A</v>
      </c>
    </row>
    <row r="387">
      <c r="A387" s="23"/>
      <c r="B387" s="23"/>
      <c r="C387" s="23"/>
      <c r="D387" s="23"/>
      <c r="E387" s="24" t="str">
        <f>IFERROR(__xludf.DUMMYFUNCTION("""COMPUTED_VALUE"""),"#N/A")</f>
        <v>#N/A</v>
      </c>
      <c r="F387" s="24" t="str">
        <f>IFERROR(__xludf.DUMMYFUNCTION("""COMPUTED_VALUE"""),"#N/A")</f>
        <v>#N/A</v>
      </c>
    </row>
    <row r="388">
      <c r="A388" s="23"/>
      <c r="B388" s="23"/>
      <c r="C388" s="23"/>
      <c r="D388" s="23"/>
      <c r="E388" s="24" t="str">
        <f>IFERROR(__xludf.DUMMYFUNCTION("""COMPUTED_VALUE"""),"#N/A")</f>
        <v>#N/A</v>
      </c>
      <c r="F388" s="24" t="str">
        <f>IFERROR(__xludf.DUMMYFUNCTION("""COMPUTED_VALUE"""),"#N/A")</f>
        <v>#N/A</v>
      </c>
    </row>
    <row r="389">
      <c r="A389" s="23"/>
      <c r="B389" s="23"/>
      <c r="C389" s="23"/>
      <c r="D389" s="23"/>
      <c r="E389" s="24" t="str">
        <f>IFERROR(__xludf.DUMMYFUNCTION("""COMPUTED_VALUE"""),"#N/A")</f>
        <v>#N/A</v>
      </c>
      <c r="F389" s="24" t="str">
        <f>IFERROR(__xludf.DUMMYFUNCTION("""COMPUTED_VALUE"""),"#N/A")</f>
        <v>#N/A</v>
      </c>
    </row>
    <row r="390">
      <c r="A390" s="23"/>
      <c r="B390" s="23"/>
      <c r="C390" s="23"/>
      <c r="D390" s="23"/>
      <c r="E390" s="24" t="str">
        <f>IFERROR(__xludf.DUMMYFUNCTION("""COMPUTED_VALUE"""),"#N/A")</f>
        <v>#N/A</v>
      </c>
      <c r="F390" s="24" t="str">
        <f>IFERROR(__xludf.DUMMYFUNCTION("""COMPUTED_VALUE"""),"#N/A")</f>
        <v>#N/A</v>
      </c>
    </row>
    <row r="391">
      <c r="A391" s="23"/>
      <c r="B391" s="23"/>
      <c r="C391" s="23"/>
      <c r="D391" s="23"/>
      <c r="E391" s="24" t="str">
        <f>IFERROR(__xludf.DUMMYFUNCTION("""COMPUTED_VALUE"""),"#N/A")</f>
        <v>#N/A</v>
      </c>
      <c r="F391" s="24" t="str">
        <f>IFERROR(__xludf.DUMMYFUNCTION("""COMPUTED_VALUE"""),"#N/A")</f>
        <v>#N/A</v>
      </c>
    </row>
    <row r="392">
      <c r="A392" s="23"/>
      <c r="B392" s="23"/>
      <c r="C392" s="23"/>
      <c r="D392" s="23"/>
      <c r="E392" s="24" t="str">
        <f>IFERROR(__xludf.DUMMYFUNCTION("""COMPUTED_VALUE"""),"#N/A")</f>
        <v>#N/A</v>
      </c>
      <c r="F392" s="24" t="str">
        <f>IFERROR(__xludf.DUMMYFUNCTION("""COMPUTED_VALUE"""),"#N/A")</f>
        <v>#N/A</v>
      </c>
    </row>
    <row r="393">
      <c r="A393" s="23"/>
      <c r="B393" s="23"/>
      <c r="C393" s="23"/>
      <c r="D393" s="23"/>
      <c r="E393" s="24" t="str">
        <f>IFERROR(__xludf.DUMMYFUNCTION("""COMPUTED_VALUE"""),"#N/A")</f>
        <v>#N/A</v>
      </c>
      <c r="F393" s="24" t="str">
        <f>IFERROR(__xludf.DUMMYFUNCTION("""COMPUTED_VALUE"""),"#N/A")</f>
        <v>#N/A</v>
      </c>
    </row>
    <row r="394">
      <c r="A394" s="23"/>
      <c r="B394" s="23"/>
      <c r="C394" s="23"/>
      <c r="D394" s="23"/>
      <c r="E394" s="24" t="str">
        <f>IFERROR(__xludf.DUMMYFUNCTION("""COMPUTED_VALUE"""),"#N/A")</f>
        <v>#N/A</v>
      </c>
      <c r="F394" s="24" t="str">
        <f>IFERROR(__xludf.DUMMYFUNCTION("""COMPUTED_VALUE"""),"#N/A")</f>
        <v>#N/A</v>
      </c>
    </row>
    <row r="395">
      <c r="A395" s="23"/>
      <c r="B395" s="23"/>
      <c r="C395" s="23"/>
      <c r="D395" s="23"/>
      <c r="E395" s="24" t="str">
        <f>IFERROR(__xludf.DUMMYFUNCTION("""COMPUTED_VALUE"""),"#N/A")</f>
        <v>#N/A</v>
      </c>
      <c r="F395" s="24" t="str">
        <f>IFERROR(__xludf.DUMMYFUNCTION("""COMPUTED_VALUE"""),"#N/A")</f>
        <v>#N/A</v>
      </c>
    </row>
    <row r="396">
      <c r="A396" s="23"/>
      <c r="B396" s="23"/>
      <c r="C396" s="23"/>
      <c r="D396" s="23"/>
      <c r="E396" s="24" t="str">
        <f>IFERROR(__xludf.DUMMYFUNCTION("""COMPUTED_VALUE"""),"#N/A")</f>
        <v>#N/A</v>
      </c>
      <c r="F396" s="24" t="str">
        <f>IFERROR(__xludf.DUMMYFUNCTION("""COMPUTED_VALUE"""),"#N/A")</f>
        <v>#N/A</v>
      </c>
    </row>
    <row r="397">
      <c r="A397" s="23"/>
      <c r="B397" s="23"/>
      <c r="C397" s="23"/>
      <c r="D397" s="23"/>
      <c r="E397" s="24" t="str">
        <f>IFERROR(__xludf.DUMMYFUNCTION("""COMPUTED_VALUE"""),"#N/A")</f>
        <v>#N/A</v>
      </c>
      <c r="F397" s="24" t="str">
        <f>IFERROR(__xludf.DUMMYFUNCTION("""COMPUTED_VALUE"""),"#N/A")</f>
        <v>#N/A</v>
      </c>
    </row>
    <row r="398">
      <c r="A398" s="23"/>
      <c r="B398" s="23"/>
      <c r="C398" s="23"/>
      <c r="D398" s="23"/>
      <c r="E398" s="24" t="str">
        <f>IFERROR(__xludf.DUMMYFUNCTION("""COMPUTED_VALUE"""),"#N/A")</f>
        <v>#N/A</v>
      </c>
      <c r="F398" s="24" t="str">
        <f>IFERROR(__xludf.DUMMYFUNCTION("""COMPUTED_VALUE"""),"#N/A")</f>
        <v>#N/A</v>
      </c>
    </row>
    <row r="399">
      <c r="A399" s="23"/>
      <c r="B399" s="23"/>
      <c r="C399" s="23"/>
      <c r="D399" s="23"/>
      <c r="E399" s="24" t="str">
        <f>IFERROR(__xludf.DUMMYFUNCTION("""COMPUTED_VALUE"""),"#N/A")</f>
        <v>#N/A</v>
      </c>
      <c r="F399" s="24" t="str">
        <f>IFERROR(__xludf.DUMMYFUNCTION("""COMPUTED_VALUE"""),"#N/A")</f>
        <v>#N/A</v>
      </c>
    </row>
    <row r="400">
      <c r="A400" s="23"/>
      <c r="B400" s="23"/>
      <c r="C400" s="23"/>
      <c r="D400" s="23"/>
      <c r="E400" s="24" t="str">
        <f>IFERROR(__xludf.DUMMYFUNCTION("""COMPUTED_VALUE"""),"#N/A")</f>
        <v>#N/A</v>
      </c>
      <c r="F400" s="24" t="str">
        <f>IFERROR(__xludf.DUMMYFUNCTION("""COMPUTED_VALUE"""),"#N/A")</f>
        <v>#N/A</v>
      </c>
    </row>
    <row r="401">
      <c r="A401" s="23"/>
      <c r="B401" s="23"/>
      <c r="C401" s="23"/>
      <c r="D401" s="23"/>
      <c r="E401" s="24" t="str">
        <f>IFERROR(__xludf.DUMMYFUNCTION("""COMPUTED_VALUE"""),"#N/A")</f>
        <v>#N/A</v>
      </c>
      <c r="F401" s="24" t="str">
        <f>IFERROR(__xludf.DUMMYFUNCTION("""COMPUTED_VALUE"""),"#N/A")</f>
        <v>#N/A</v>
      </c>
    </row>
    <row r="402">
      <c r="A402" s="23"/>
      <c r="B402" s="23"/>
      <c r="C402" s="23"/>
      <c r="D402" s="23"/>
      <c r="E402" s="24" t="str">
        <f>IFERROR(__xludf.DUMMYFUNCTION("""COMPUTED_VALUE"""),"#N/A")</f>
        <v>#N/A</v>
      </c>
      <c r="F402" s="24" t="str">
        <f>IFERROR(__xludf.DUMMYFUNCTION("""COMPUTED_VALUE"""),"#N/A")</f>
        <v>#N/A</v>
      </c>
    </row>
    <row r="403">
      <c r="A403" s="23"/>
      <c r="B403" s="23"/>
      <c r="C403" s="23"/>
      <c r="D403" s="23"/>
      <c r="E403" s="24" t="str">
        <f>IFERROR(__xludf.DUMMYFUNCTION("""COMPUTED_VALUE"""),"#N/A")</f>
        <v>#N/A</v>
      </c>
      <c r="F403" s="24" t="str">
        <f>IFERROR(__xludf.DUMMYFUNCTION("""COMPUTED_VALUE"""),"#N/A")</f>
        <v>#N/A</v>
      </c>
    </row>
    <row r="404">
      <c r="A404" s="23"/>
      <c r="B404" s="23"/>
      <c r="C404" s="23"/>
      <c r="D404" s="23"/>
      <c r="E404" s="24" t="str">
        <f>IFERROR(__xludf.DUMMYFUNCTION("""COMPUTED_VALUE"""),"#N/A")</f>
        <v>#N/A</v>
      </c>
      <c r="F404" s="24" t="str">
        <f>IFERROR(__xludf.DUMMYFUNCTION("""COMPUTED_VALUE"""),"#N/A")</f>
        <v>#N/A</v>
      </c>
    </row>
    <row r="405">
      <c r="A405" s="23"/>
      <c r="B405" s="23"/>
      <c r="C405" s="23"/>
      <c r="D405" s="23"/>
      <c r="E405" s="24" t="str">
        <f>IFERROR(__xludf.DUMMYFUNCTION("""COMPUTED_VALUE"""),"#N/A")</f>
        <v>#N/A</v>
      </c>
      <c r="F405" s="24" t="str">
        <f>IFERROR(__xludf.DUMMYFUNCTION("""COMPUTED_VALUE"""),"#N/A")</f>
        <v>#N/A</v>
      </c>
    </row>
    <row r="406">
      <c r="A406" s="23"/>
      <c r="B406" s="23"/>
      <c r="C406" s="23"/>
      <c r="D406" s="23"/>
      <c r="E406" s="24" t="str">
        <f>IFERROR(__xludf.DUMMYFUNCTION("""COMPUTED_VALUE"""),"#N/A")</f>
        <v>#N/A</v>
      </c>
      <c r="F406" s="24" t="str">
        <f>IFERROR(__xludf.DUMMYFUNCTION("""COMPUTED_VALUE"""),"#N/A")</f>
        <v>#N/A</v>
      </c>
    </row>
    <row r="407">
      <c r="A407" s="23"/>
      <c r="B407" s="23"/>
      <c r="C407" s="23"/>
      <c r="D407" s="23"/>
      <c r="E407" s="24" t="str">
        <f>IFERROR(__xludf.DUMMYFUNCTION("""COMPUTED_VALUE"""),"#N/A")</f>
        <v>#N/A</v>
      </c>
      <c r="F407" s="24" t="str">
        <f>IFERROR(__xludf.DUMMYFUNCTION("""COMPUTED_VALUE"""),"#N/A")</f>
        <v>#N/A</v>
      </c>
    </row>
    <row r="408">
      <c r="A408" s="23"/>
      <c r="B408" s="23"/>
      <c r="C408" s="23"/>
      <c r="D408" s="23"/>
      <c r="E408" s="24" t="str">
        <f>IFERROR(__xludf.DUMMYFUNCTION("""COMPUTED_VALUE"""),"#N/A")</f>
        <v>#N/A</v>
      </c>
      <c r="F408" s="24" t="str">
        <f>IFERROR(__xludf.DUMMYFUNCTION("""COMPUTED_VALUE"""),"#N/A")</f>
        <v>#N/A</v>
      </c>
    </row>
    <row r="409">
      <c r="A409" s="23"/>
      <c r="B409" s="23"/>
      <c r="C409" s="23"/>
      <c r="D409" s="23"/>
      <c r="E409" s="24" t="str">
        <f>IFERROR(__xludf.DUMMYFUNCTION("""COMPUTED_VALUE"""),"#N/A")</f>
        <v>#N/A</v>
      </c>
      <c r="F409" s="24" t="str">
        <f>IFERROR(__xludf.DUMMYFUNCTION("""COMPUTED_VALUE"""),"#N/A")</f>
        <v>#N/A</v>
      </c>
    </row>
    <row r="410">
      <c r="A410" s="23"/>
      <c r="B410" s="23"/>
      <c r="C410" s="23"/>
      <c r="D410" s="23"/>
      <c r="E410" s="24" t="str">
        <f>IFERROR(__xludf.DUMMYFUNCTION("""COMPUTED_VALUE"""),"#N/A")</f>
        <v>#N/A</v>
      </c>
      <c r="F410" s="24" t="str">
        <f>IFERROR(__xludf.DUMMYFUNCTION("""COMPUTED_VALUE"""),"#N/A")</f>
        <v>#N/A</v>
      </c>
    </row>
    <row r="411">
      <c r="A411" s="23"/>
      <c r="B411" s="23"/>
      <c r="C411" s="23"/>
      <c r="D411" s="23"/>
      <c r="E411" s="24" t="str">
        <f>IFERROR(__xludf.DUMMYFUNCTION("""COMPUTED_VALUE"""),"#N/A")</f>
        <v>#N/A</v>
      </c>
      <c r="F411" s="24" t="str">
        <f>IFERROR(__xludf.DUMMYFUNCTION("""COMPUTED_VALUE"""),"#N/A")</f>
        <v>#N/A</v>
      </c>
    </row>
    <row r="412">
      <c r="A412" s="23"/>
      <c r="B412" s="23"/>
      <c r="C412" s="23"/>
      <c r="D412" s="23"/>
      <c r="E412" s="24" t="str">
        <f>IFERROR(__xludf.DUMMYFUNCTION("""COMPUTED_VALUE"""),"#N/A")</f>
        <v>#N/A</v>
      </c>
      <c r="F412" s="24" t="str">
        <f>IFERROR(__xludf.DUMMYFUNCTION("""COMPUTED_VALUE"""),"#N/A")</f>
        <v>#N/A</v>
      </c>
    </row>
    <row r="413">
      <c r="A413" s="23"/>
      <c r="B413" s="23"/>
      <c r="C413" s="23"/>
      <c r="D413" s="23"/>
      <c r="E413" s="24" t="str">
        <f>IFERROR(__xludf.DUMMYFUNCTION("""COMPUTED_VALUE"""),"#N/A")</f>
        <v>#N/A</v>
      </c>
      <c r="F413" s="24" t="str">
        <f>IFERROR(__xludf.DUMMYFUNCTION("""COMPUTED_VALUE"""),"#N/A")</f>
        <v>#N/A</v>
      </c>
    </row>
    <row r="414">
      <c r="A414" s="23"/>
      <c r="B414" s="23"/>
      <c r="C414" s="23"/>
      <c r="D414" s="23"/>
      <c r="E414" s="24" t="str">
        <f>IFERROR(__xludf.DUMMYFUNCTION("""COMPUTED_VALUE"""),"#N/A")</f>
        <v>#N/A</v>
      </c>
      <c r="F414" s="24" t="str">
        <f>IFERROR(__xludf.DUMMYFUNCTION("""COMPUTED_VALUE"""),"#N/A")</f>
        <v>#N/A</v>
      </c>
    </row>
    <row r="415">
      <c r="A415" s="23"/>
      <c r="B415" s="23"/>
      <c r="C415" s="23"/>
      <c r="D415" s="23"/>
      <c r="E415" s="24" t="str">
        <f>IFERROR(__xludf.DUMMYFUNCTION("""COMPUTED_VALUE"""),"#N/A")</f>
        <v>#N/A</v>
      </c>
      <c r="F415" s="24" t="str">
        <f>IFERROR(__xludf.DUMMYFUNCTION("""COMPUTED_VALUE"""),"#N/A")</f>
        <v>#N/A</v>
      </c>
    </row>
    <row r="416">
      <c r="A416" s="23"/>
      <c r="B416" s="23"/>
      <c r="C416" s="23"/>
      <c r="D416" s="23"/>
      <c r="E416" s="24" t="str">
        <f>IFERROR(__xludf.DUMMYFUNCTION("""COMPUTED_VALUE"""),"#N/A")</f>
        <v>#N/A</v>
      </c>
      <c r="F416" s="24" t="str">
        <f>IFERROR(__xludf.DUMMYFUNCTION("""COMPUTED_VALUE"""),"#N/A")</f>
        <v>#N/A</v>
      </c>
    </row>
    <row r="417">
      <c r="A417" s="23"/>
      <c r="B417" s="23"/>
      <c r="C417" s="23"/>
      <c r="D417" s="23"/>
      <c r="E417" s="24" t="str">
        <f>IFERROR(__xludf.DUMMYFUNCTION("""COMPUTED_VALUE"""),"#N/A")</f>
        <v>#N/A</v>
      </c>
      <c r="F417" s="24" t="str">
        <f>IFERROR(__xludf.DUMMYFUNCTION("""COMPUTED_VALUE"""),"#N/A")</f>
        <v>#N/A</v>
      </c>
    </row>
    <row r="418">
      <c r="A418" s="23"/>
      <c r="B418" s="23"/>
      <c r="C418" s="23"/>
      <c r="D418" s="23"/>
      <c r="E418" s="24" t="str">
        <f>IFERROR(__xludf.DUMMYFUNCTION("""COMPUTED_VALUE"""),"#N/A")</f>
        <v>#N/A</v>
      </c>
      <c r="F418" s="24" t="str">
        <f>IFERROR(__xludf.DUMMYFUNCTION("""COMPUTED_VALUE"""),"#N/A")</f>
        <v>#N/A</v>
      </c>
    </row>
    <row r="419">
      <c r="A419" s="23"/>
      <c r="B419" s="23"/>
      <c r="C419" s="23"/>
      <c r="D419" s="23"/>
      <c r="E419" s="24" t="str">
        <f>IFERROR(__xludf.DUMMYFUNCTION("""COMPUTED_VALUE"""),"#N/A")</f>
        <v>#N/A</v>
      </c>
      <c r="F419" s="24" t="str">
        <f>IFERROR(__xludf.DUMMYFUNCTION("""COMPUTED_VALUE"""),"#N/A")</f>
        <v>#N/A</v>
      </c>
    </row>
    <row r="420">
      <c r="A420" s="23"/>
      <c r="B420" s="23"/>
      <c r="C420" s="23"/>
      <c r="D420" s="23"/>
      <c r="E420" s="24" t="str">
        <f>IFERROR(__xludf.DUMMYFUNCTION("""COMPUTED_VALUE"""),"#N/A")</f>
        <v>#N/A</v>
      </c>
      <c r="F420" s="24" t="str">
        <f>IFERROR(__xludf.DUMMYFUNCTION("""COMPUTED_VALUE"""),"#N/A")</f>
        <v>#N/A</v>
      </c>
    </row>
    <row r="421">
      <c r="A421" s="23"/>
      <c r="B421" s="23"/>
      <c r="C421" s="23"/>
      <c r="D421" s="23"/>
      <c r="E421" s="24" t="str">
        <f>IFERROR(__xludf.DUMMYFUNCTION("""COMPUTED_VALUE"""),"#N/A")</f>
        <v>#N/A</v>
      </c>
      <c r="F421" s="24" t="str">
        <f>IFERROR(__xludf.DUMMYFUNCTION("""COMPUTED_VALUE"""),"#N/A")</f>
        <v>#N/A</v>
      </c>
    </row>
    <row r="422">
      <c r="A422" s="23"/>
      <c r="B422" s="23"/>
      <c r="C422" s="23"/>
      <c r="D422" s="23"/>
      <c r="E422" s="24" t="str">
        <f>IFERROR(__xludf.DUMMYFUNCTION("""COMPUTED_VALUE"""),"#N/A")</f>
        <v>#N/A</v>
      </c>
      <c r="F422" s="24" t="str">
        <f>IFERROR(__xludf.DUMMYFUNCTION("""COMPUTED_VALUE"""),"#N/A")</f>
        <v>#N/A</v>
      </c>
    </row>
    <row r="423">
      <c r="A423" s="23"/>
      <c r="B423" s="23"/>
      <c r="C423" s="23"/>
      <c r="D423" s="23"/>
      <c r="E423" s="24" t="str">
        <f>IFERROR(__xludf.DUMMYFUNCTION("""COMPUTED_VALUE"""),"#N/A")</f>
        <v>#N/A</v>
      </c>
      <c r="F423" s="24" t="str">
        <f>IFERROR(__xludf.DUMMYFUNCTION("""COMPUTED_VALUE"""),"#N/A")</f>
        <v>#N/A</v>
      </c>
    </row>
    <row r="424">
      <c r="A424" s="23"/>
      <c r="B424" s="23"/>
      <c r="C424" s="23"/>
      <c r="D424" s="23"/>
      <c r="E424" s="24" t="str">
        <f>IFERROR(__xludf.DUMMYFUNCTION("""COMPUTED_VALUE"""),"#N/A")</f>
        <v>#N/A</v>
      </c>
      <c r="F424" s="24" t="str">
        <f>IFERROR(__xludf.DUMMYFUNCTION("""COMPUTED_VALUE"""),"#N/A")</f>
        <v>#N/A</v>
      </c>
    </row>
    <row r="425">
      <c r="A425" s="23"/>
      <c r="B425" s="23"/>
      <c r="C425" s="23"/>
      <c r="D425" s="23"/>
      <c r="E425" s="24" t="str">
        <f>IFERROR(__xludf.DUMMYFUNCTION("""COMPUTED_VALUE"""),"#N/A")</f>
        <v>#N/A</v>
      </c>
      <c r="F425" s="24" t="str">
        <f>IFERROR(__xludf.DUMMYFUNCTION("""COMPUTED_VALUE"""),"#N/A")</f>
        <v>#N/A</v>
      </c>
    </row>
    <row r="426">
      <c r="A426" s="23"/>
      <c r="B426" s="23"/>
      <c r="C426" s="23"/>
      <c r="D426" s="23"/>
      <c r="E426" s="24" t="str">
        <f>IFERROR(__xludf.DUMMYFUNCTION("""COMPUTED_VALUE"""),"#N/A")</f>
        <v>#N/A</v>
      </c>
      <c r="F426" s="24" t="str">
        <f>IFERROR(__xludf.DUMMYFUNCTION("""COMPUTED_VALUE"""),"#N/A")</f>
        <v>#N/A</v>
      </c>
    </row>
    <row r="427">
      <c r="A427" s="23"/>
      <c r="B427" s="23"/>
      <c r="C427" s="23"/>
      <c r="D427" s="23"/>
      <c r="E427" s="24" t="str">
        <f>IFERROR(__xludf.DUMMYFUNCTION("""COMPUTED_VALUE"""),"#N/A")</f>
        <v>#N/A</v>
      </c>
      <c r="F427" s="24" t="str">
        <f>IFERROR(__xludf.DUMMYFUNCTION("""COMPUTED_VALUE"""),"#N/A")</f>
        <v>#N/A</v>
      </c>
    </row>
    <row r="428">
      <c r="A428" s="23"/>
      <c r="B428" s="23"/>
      <c r="C428" s="23"/>
      <c r="D428" s="23"/>
      <c r="E428" s="24" t="str">
        <f>IFERROR(__xludf.DUMMYFUNCTION("""COMPUTED_VALUE"""),"#N/A")</f>
        <v>#N/A</v>
      </c>
      <c r="F428" s="24" t="str">
        <f>IFERROR(__xludf.DUMMYFUNCTION("""COMPUTED_VALUE"""),"#N/A")</f>
        <v>#N/A</v>
      </c>
    </row>
    <row r="429">
      <c r="A429" s="23"/>
      <c r="B429" s="23"/>
      <c r="C429" s="23"/>
      <c r="D429" s="23"/>
      <c r="E429" s="24" t="str">
        <f>IFERROR(__xludf.DUMMYFUNCTION("""COMPUTED_VALUE"""),"#N/A")</f>
        <v>#N/A</v>
      </c>
      <c r="F429" s="24" t="str">
        <f>IFERROR(__xludf.DUMMYFUNCTION("""COMPUTED_VALUE"""),"#N/A")</f>
        <v>#N/A</v>
      </c>
    </row>
    <row r="430">
      <c r="A430" s="23"/>
      <c r="B430" s="23"/>
      <c r="C430" s="23"/>
      <c r="D430" s="23"/>
      <c r="E430" s="24" t="str">
        <f>IFERROR(__xludf.DUMMYFUNCTION("""COMPUTED_VALUE"""),"#N/A")</f>
        <v>#N/A</v>
      </c>
      <c r="F430" s="24" t="str">
        <f>IFERROR(__xludf.DUMMYFUNCTION("""COMPUTED_VALUE"""),"#N/A")</f>
        <v>#N/A</v>
      </c>
    </row>
    <row r="431">
      <c r="A431" s="23"/>
      <c r="B431" s="23"/>
      <c r="C431" s="23"/>
      <c r="D431" s="23"/>
      <c r="E431" s="24" t="str">
        <f>IFERROR(__xludf.DUMMYFUNCTION("""COMPUTED_VALUE"""),"#N/A")</f>
        <v>#N/A</v>
      </c>
      <c r="F431" s="24" t="str">
        <f>IFERROR(__xludf.DUMMYFUNCTION("""COMPUTED_VALUE"""),"#N/A")</f>
        <v>#N/A</v>
      </c>
    </row>
    <row r="432">
      <c r="A432" s="23"/>
      <c r="B432" s="23"/>
      <c r="C432" s="23"/>
      <c r="D432" s="23"/>
      <c r="E432" s="24" t="str">
        <f>IFERROR(__xludf.DUMMYFUNCTION("""COMPUTED_VALUE"""),"#N/A")</f>
        <v>#N/A</v>
      </c>
      <c r="F432" s="24" t="str">
        <f>IFERROR(__xludf.DUMMYFUNCTION("""COMPUTED_VALUE"""),"#N/A")</f>
        <v>#N/A</v>
      </c>
    </row>
    <row r="433">
      <c r="A433" s="23"/>
      <c r="B433" s="23"/>
      <c r="C433" s="23"/>
      <c r="D433" s="23"/>
      <c r="E433" s="24" t="str">
        <f>IFERROR(__xludf.DUMMYFUNCTION("""COMPUTED_VALUE"""),"#N/A")</f>
        <v>#N/A</v>
      </c>
      <c r="F433" s="24" t="str">
        <f>IFERROR(__xludf.DUMMYFUNCTION("""COMPUTED_VALUE"""),"#N/A")</f>
        <v>#N/A</v>
      </c>
    </row>
    <row r="434">
      <c r="A434" s="23"/>
      <c r="B434" s="23"/>
      <c r="C434" s="23"/>
      <c r="D434" s="23"/>
      <c r="E434" s="24" t="str">
        <f>IFERROR(__xludf.DUMMYFUNCTION("""COMPUTED_VALUE"""),"#N/A")</f>
        <v>#N/A</v>
      </c>
      <c r="F434" s="24" t="str">
        <f>IFERROR(__xludf.DUMMYFUNCTION("""COMPUTED_VALUE"""),"#N/A")</f>
        <v>#N/A</v>
      </c>
    </row>
    <row r="435">
      <c r="A435" s="23"/>
      <c r="B435" s="23"/>
      <c r="C435" s="23"/>
      <c r="D435" s="23"/>
      <c r="E435" s="24" t="str">
        <f>IFERROR(__xludf.DUMMYFUNCTION("""COMPUTED_VALUE"""),"#N/A")</f>
        <v>#N/A</v>
      </c>
      <c r="F435" s="24" t="str">
        <f>IFERROR(__xludf.DUMMYFUNCTION("""COMPUTED_VALUE"""),"#N/A")</f>
        <v>#N/A</v>
      </c>
    </row>
    <row r="436">
      <c r="A436" s="23"/>
      <c r="B436" s="23"/>
      <c r="C436" s="23"/>
      <c r="D436" s="23"/>
      <c r="E436" s="24" t="str">
        <f>IFERROR(__xludf.DUMMYFUNCTION("""COMPUTED_VALUE"""),"#N/A")</f>
        <v>#N/A</v>
      </c>
      <c r="F436" s="24" t="str">
        <f>IFERROR(__xludf.DUMMYFUNCTION("""COMPUTED_VALUE"""),"#N/A")</f>
        <v>#N/A</v>
      </c>
    </row>
    <row r="437">
      <c r="A437" s="23"/>
      <c r="B437" s="23"/>
      <c r="C437" s="23"/>
      <c r="D437" s="23"/>
      <c r="E437" s="24" t="str">
        <f>IFERROR(__xludf.DUMMYFUNCTION("""COMPUTED_VALUE"""),"#N/A")</f>
        <v>#N/A</v>
      </c>
      <c r="F437" s="24" t="str">
        <f>IFERROR(__xludf.DUMMYFUNCTION("""COMPUTED_VALUE"""),"#N/A")</f>
        <v>#N/A</v>
      </c>
    </row>
    <row r="438">
      <c r="A438" s="23"/>
      <c r="B438" s="23"/>
      <c r="C438" s="23"/>
      <c r="D438" s="23"/>
      <c r="E438" s="24" t="str">
        <f>IFERROR(__xludf.DUMMYFUNCTION("""COMPUTED_VALUE"""),"#N/A")</f>
        <v>#N/A</v>
      </c>
      <c r="F438" s="24" t="str">
        <f>IFERROR(__xludf.DUMMYFUNCTION("""COMPUTED_VALUE"""),"#N/A")</f>
        <v>#N/A</v>
      </c>
    </row>
    <row r="439">
      <c r="A439" s="23"/>
      <c r="B439" s="23"/>
      <c r="C439" s="23"/>
      <c r="D439" s="23"/>
      <c r="E439" s="24" t="str">
        <f>IFERROR(__xludf.DUMMYFUNCTION("""COMPUTED_VALUE"""),"#N/A")</f>
        <v>#N/A</v>
      </c>
      <c r="F439" s="24" t="str">
        <f>IFERROR(__xludf.DUMMYFUNCTION("""COMPUTED_VALUE"""),"#N/A")</f>
        <v>#N/A</v>
      </c>
    </row>
    <row r="440">
      <c r="A440" s="23"/>
      <c r="B440" s="23"/>
      <c r="C440" s="23"/>
      <c r="D440" s="23"/>
      <c r="E440" s="24" t="str">
        <f>IFERROR(__xludf.DUMMYFUNCTION("""COMPUTED_VALUE"""),"#N/A")</f>
        <v>#N/A</v>
      </c>
      <c r="F440" s="24" t="str">
        <f>IFERROR(__xludf.DUMMYFUNCTION("""COMPUTED_VALUE"""),"#N/A")</f>
        <v>#N/A</v>
      </c>
    </row>
    <row r="441">
      <c r="A441" s="23"/>
      <c r="B441" s="23"/>
      <c r="C441" s="23"/>
      <c r="D441" s="23"/>
      <c r="E441" s="24" t="str">
        <f>IFERROR(__xludf.DUMMYFUNCTION("""COMPUTED_VALUE"""),"#N/A")</f>
        <v>#N/A</v>
      </c>
      <c r="F441" s="24" t="str">
        <f>IFERROR(__xludf.DUMMYFUNCTION("""COMPUTED_VALUE"""),"#N/A")</f>
        <v>#N/A</v>
      </c>
    </row>
    <row r="442">
      <c r="A442" s="23"/>
      <c r="B442" s="23"/>
      <c r="C442" s="23"/>
      <c r="D442" s="23"/>
      <c r="E442" s="24" t="str">
        <f>IFERROR(__xludf.DUMMYFUNCTION("""COMPUTED_VALUE"""),"#N/A")</f>
        <v>#N/A</v>
      </c>
      <c r="F442" s="24" t="str">
        <f>IFERROR(__xludf.DUMMYFUNCTION("""COMPUTED_VALUE"""),"#N/A")</f>
        <v>#N/A</v>
      </c>
    </row>
    <row r="443">
      <c r="A443" s="23"/>
      <c r="B443" s="23"/>
      <c r="C443" s="23"/>
      <c r="D443" s="23"/>
      <c r="E443" s="24" t="str">
        <f>IFERROR(__xludf.DUMMYFUNCTION("""COMPUTED_VALUE"""),"#N/A")</f>
        <v>#N/A</v>
      </c>
      <c r="F443" s="24" t="str">
        <f>IFERROR(__xludf.DUMMYFUNCTION("""COMPUTED_VALUE"""),"#N/A")</f>
        <v>#N/A</v>
      </c>
    </row>
    <row r="444">
      <c r="A444" s="23"/>
      <c r="B444" s="23"/>
      <c r="C444" s="23"/>
      <c r="D444" s="23"/>
      <c r="E444" s="24" t="str">
        <f>IFERROR(__xludf.DUMMYFUNCTION("""COMPUTED_VALUE"""),"#N/A")</f>
        <v>#N/A</v>
      </c>
      <c r="F444" s="24" t="str">
        <f>IFERROR(__xludf.DUMMYFUNCTION("""COMPUTED_VALUE"""),"#N/A")</f>
        <v>#N/A</v>
      </c>
    </row>
    <row r="445">
      <c r="A445" s="23"/>
      <c r="B445" s="23"/>
      <c r="C445" s="23"/>
      <c r="D445" s="23"/>
      <c r="E445" s="24" t="str">
        <f>IFERROR(__xludf.DUMMYFUNCTION("""COMPUTED_VALUE"""),"#N/A")</f>
        <v>#N/A</v>
      </c>
      <c r="F445" s="24" t="str">
        <f>IFERROR(__xludf.DUMMYFUNCTION("""COMPUTED_VALUE"""),"#N/A")</f>
        <v>#N/A</v>
      </c>
    </row>
    <row r="446">
      <c r="A446" s="23"/>
      <c r="B446" s="23"/>
      <c r="C446" s="23"/>
      <c r="D446" s="23"/>
      <c r="E446" s="24" t="str">
        <f>IFERROR(__xludf.DUMMYFUNCTION("""COMPUTED_VALUE"""),"#N/A")</f>
        <v>#N/A</v>
      </c>
      <c r="F446" s="24" t="str">
        <f>IFERROR(__xludf.DUMMYFUNCTION("""COMPUTED_VALUE"""),"#N/A")</f>
        <v>#N/A</v>
      </c>
    </row>
    <row r="447">
      <c r="A447" s="23"/>
      <c r="B447" s="23"/>
      <c r="C447" s="23"/>
      <c r="D447" s="23"/>
      <c r="E447" s="24" t="str">
        <f>IFERROR(__xludf.DUMMYFUNCTION("""COMPUTED_VALUE"""),"#N/A")</f>
        <v>#N/A</v>
      </c>
      <c r="F447" s="24" t="str">
        <f>IFERROR(__xludf.DUMMYFUNCTION("""COMPUTED_VALUE"""),"#N/A")</f>
        <v>#N/A</v>
      </c>
    </row>
    <row r="448">
      <c r="A448" s="23"/>
      <c r="B448" s="23"/>
      <c r="C448" s="23"/>
      <c r="D448" s="23"/>
      <c r="E448" s="24" t="str">
        <f>IFERROR(__xludf.DUMMYFUNCTION("""COMPUTED_VALUE"""),"#N/A")</f>
        <v>#N/A</v>
      </c>
      <c r="F448" s="24" t="str">
        <f>IFERROR(__xludf.DUMMYFUNCTION("""COMPUTED_VALUE"""),"#N/A")</f>
        <v>#N/A</v>
      </c>
    </row>
    <row r="449">
      <c r="A449" s="23"/>
      <c r="B449" s="23"/>
      <c r="C449" s="23"/>
      <c r="D449" s="23"/>
      <c r="E449" s="24" t="str">
        <f>IFERROR(__xludf.DUMMYFUNCTION("""COMPUTED_VALUE"""),"#N/A")</f>
        <v>#N/A</v>
      </c>
      <c r="F449" s="24" t="str">
        <f>IFERROR(__xludf.DUMMYFUNCTION("""COMPUTED_VALUE"""),"#N/A")</f>
        <v>#N/A</v>
      </c>
    </row>
    <row r="450">
      <c r="A450" s="23"/>
      <c r="B450" s="23"/>
      <c r="C450" s="23"/>
      <c r="D450" s="23"/>
      <c r="E450" s="24" t="str">
        <f>IFERROR(__xludf.DUMMYFUNCTION("""COMPUTED_VALUE"""),"#N/A")</f>
        <v>#N/A</v>
      </c>
      <c r="F450" s="24" t="str">
        <f>IFERROR(__xludf.DUMMYFUNCTION("""COMPUTED_VALUE"""),"#N/A")</f>
        <v>#N/A</v>
      </c>
    </row>
    <row r="451">
      <c r="A451" s="23"/>
      <c r="B451" s="23"/>
      <c r="C451" s="23"/>
      <c r="D451" s="23"/>
      <c r="E451" s="24" t="str">
        <f>IFERROR(__xludf.DUMMYFUNCTION("""COMPUTED_VALUE"""),"#N/A")</f>
        <v>#N/A</v>
      </c>
      <c r="F451" s="24" t="str">
        <f>IFERROR(__xludf.DUMMYFUNCTION("""COMPUTED_VALUE"""),"#N/A")</f>
        <v>#N/A</v>
      </c>
    </row>
    <row r="452">
      <c r="A452" s="23"/>
      <c r="B452" s="23"/>
      <c r="C452" s="23"/>
      <c r="D452" s="23"/>
      <c r="E452" s="24" t="str">
        <f>IFERROR(__xludf.DUMMYFUNCTION("""COMPUTED_VALUE"""),"#N/A")</f>
        <v>#N/A</v>
      </c>
      <c r="F452" s="24" t="str">
        <f>IFERROR(__xludf.DUMMYFUNCTION("""COMPUTED_VALUE"""),"#N/A")</f>
        <v>#N/A</v>
      </c>
    </row>
    <row r="453">
      <c r="A453" s="23"/>
      <c r="B453" s="23"/>
      <c r="C453" s="23"/>
      <c r="D453" s="23"/>
      <c r="E453" s="24" t="str">
        <f>IFERROR(__xludf.DUMMYFUNCTION("""COMPUTED_VALUE"""),"#N/A")</f>
        <v>#N/A</v>
      </c>
      <c r="F453" s="24" t="str">
        <f>IFERROR(__xludf.DUMMYFUNCTION("""COMPUTED_VALUE"""),"#N/A")</f>
        <v>#N/A</v>
      </c>
    </row>
    <row r="454">
      <c r="A454" s="23"/>
      <c r="B454" s="23"/>
      <c r="C454" s="23"/>
      <c r="D454" s="23"/>
      <c r="E454" s="24" t="str">
        <f>IFERROR(__xludf.DUMMYFUNCTION("""COMPUTED_VALUE"""),"#N/A")</f>
        <v>#N/A</v>
      </c>
      <c r="F454" s="24" t="str">
        <f>IFERROR(__xludf.DUMMYFUNCTION("""COMPUTED_VALUE"""),"#N/A")</f>
        <v>#N/A</v>
      </c>
    </row>
    <row r="455">
      <c r="A455" s="23"/>
      <c r="B455" s="23"/>
      <c r="C455" s="23"/>
      <c r="D455" s="23"/>
      <c r="E455" s="24" t="str">
        <f>IFERROR(__xludf.DUMMYFUNCTION("""COMPUTED_VALUE"""),"#N/A")</f>
        <v>#N/A</v>
      </c>
      <c r="F455" s="24" t="str">
        <f>IFERROR(__xludf.DUMMYFUNCTION("""COMPUTED_VALUE"""),"#N/A")</f>
        <v>#N/A</v>
      </c>
    </row>
    <row r="456">
      <c r="A456" s="23"/>
      <c r="B456" s="23"/>
      <c r="C456" s="23"/>
      <c r="D456" s="23"/>
      <c r="E456" s="24" t="str">
        <f>IFERROR(__xludf.DUMMYFUNCTION("""COMPUTED_VALUE"""),"#N/A")</f>
        <v>#N/A</v>
      </c>
      <c r="F456" s="24" t="str">
        <f>IFERROR(__xludf.DUMMYFUNCTION("""COMPUTED_VALUE"""),"#N/A")</f>
        <v>#N/A</v>
      </c>
    </row>
    <row r="457">
      <c r="A457" s="23"/>
      <c r="B457" s="23"/>
      <c r="C457" s="23"/>
      <c r="D457" s="23"/>
      <c r="E457" s="24" t="str">
        <f>IFERROR(__xludf.DUMMYFUNCTION("""COMPUTED_VALUE"""),"#N/A")</f>
        <v>#N/A</v>
      </c>
      <c r="F457" s="24" t="str">
        <f>IFERROR(__xludf.DUMMYFUNCTION("""COMPUTED_VALUE"""),"#N/A")</f>
        <v>#N/A</v>
      </c>
    </row>
    <row r="458">
      <c r="A458" s="23"/>
      <c r="B458" s="23"/>
      <c r="C458" s="23"/>
      <c r="D458" s="23"/>
      <c r="E458" s="24" t="str">
        <f>IFERROR(__xludf.DUMMYFUNCTION("""COMPUTED_VALUE"""),"#N/A")</f>
        <v>#N/A</v>
      </c>
      <c r="F458" s="24" t="str">
        <f>IFERROR(__xludf.DUMMYFUNCTION("""COMPUTED_VALUE"""),"#N/A")</f>
        <v>#N/A</v>
      </c>
    </row>
    <row r="459">
      <c r="A459" s="23"/>
      <c r="B459" s="23"/>
      <c r="C459" s="23"/>
      <c r="D459" s="23"/>
      <c r="E459" s="24" t="str">
        <f>IFERROR(__xludf.DUMMYFUNCTION("""COMPUTED_VALUE"""),"#N/A")</f>
        <v>#N/A</v>
      </c>
      <c r="F459" s="24" t="str">
        <f>IFERROR(__xludf.DUMMYFUNCTION("""COMPUTED_VALUE"""),"#N/A")</f>
        <v>#N/A</v>
      </c>
    </row>
    <row r="460">
      <c r="A460" s="23"/>
      <c r="B460" s="23"/>
      <c r="C460" s="23"/>
      <c r="D460" s="23"/>
      <c r="E460" s="24" t="str">
        <f>IFERROR(__xludf.DUMMYFUNCTION("""COMPUTED_VALUE"""),"#N/A")</f>
        <v>#N/A</v>
      </c>
      <c r="F460" s="24" t="str">
        <f>IFERROR(__xludf.DUMMYFUNCTION("""COMPUTED_VALUE"""),"#N/A")</f>
        <v>#N/A</v>
      </c>
    </row>
    <row r="461">
      <c r="A461" s="23"/>
      <c r="B461" s="23"/>
      <c r="C461" s="23"/>
      <c r="D461" s="23"/>
      <c r="E461" s="24" t="str">
        <f>IFERROR(__xludf.DUMMYFUNCTION("""COMPUTED_VALUE"""),"#N/A")</f>
        <v>#N/A</v>
      </c>
      <c r="F461" s="24" t="str">
        <f>IFERROR(__xludf.DUMMYFUNCTION("""COMPUTED_VALUE"""),"#N/A")</f>
        <v>#N/A</v>
      </c>
    </row>
    <row r="462">
      <c r="A462" s="23"/>
      <c r="B462" s="23"/>
      <c r="C462" s="23"/>
      <c r="D462" s="23"/>
      <c r="E462" s="24" t="str">
        <f>IFERROR(__xludf.DUMMYFUNCTION("""COMPUTED_VALUE"""),"#N/A")</f>
        <v>#N/A</v>
      </c>
      <c r="F462" s="24" t="str">
        <f>IFERROR(__xludf.DUMMYFUNCTION("""COMPUTED_VALUE"""),"#N/A")</f>
        <v>#N/A</v>
      </c>
    </row>
    <row r="463">
      <c r="A463" s="23"/>
      <c r="B463" s="23"/>
      <c r="C463" s="23"/>
      <c r="D463" s="23"/>
      <c r="E463" s="24" t="str">
        <f>IFERROR(__xludf.DUMMYFUNCTION("""COMPUTED_VALUE"""),"#N/A")</f>
        <v>#N/A</v>
      </c>
      <c r="F463" s="24" t="str">
        <f>IFERROR(__xludf.DUMMYFUNCTION("""COMPUTED_VALUE"""),"#N/A")</f>
        <v>#N/A</v>
      </c>
    </row>
    <row r="464">
      <c r="A464" s="23"/>
      <c r="B464" s="23"/>
      <c r="C464" s="23"/>
      <c r="D464" s="23"/>
      <c r="E464" s="24" t="str">
        <f>IFERROR(__xludf.DUMMYFUNCTION("""COMPUTED_VALUE"""),"#N/A")</f>
        <v>#N/A</v>
      </c>
      <c r="F464" s="24" t="str">
        <f>IFERROR(__xludf.DUMMYFUNCTION("""COMPUTED_VALUE"""),"#N/A")</f>
        <v>#N/A</v>
      </c>
    </row>
    <row r="465">
      <c r="A465" s="23"/>
      <c r="B465" s="23"/>
      <c r="C465" s="23"/>
      <c r="D465" s="23"/>
      <c r="E465" s="24" t="str">
        <f>IFERROR(__xludf.DUMMYFUNCTION("""COMPUTED_VALUE"""),"#N/A")</f>
        <v>#N/A</v>
      </c>
      <c r="F465" s="24" t="str">
        <f>IFERROR(__xludf.DUMMYFUNCTION("""COMPUTED_VALUE"""),"#N/A")</f>
        <v>#N/A</v>
      </c>
    </row>
    <row r="466">
      <c r="A466" s="23"/>
      <c r="B466" s="23"/>
      <c r="C466" s="23"/>
      <c r="D466" s="23"/>
      <c r="E466" s="24" t="str">
        <f>IFERROR(__xludf.DUMMYFUNCTION("""COMPUTED_VALUE"""),"#N/A")</f>
        <v>#N/A</v>
      </c>
      <c r="F466" s="24" t="str">
        <f>IFERROR(__xludf.DUMMYFUNCTION("""COMPUTED_VALUE"""),"#N/A")</f>
        <v>#N/A</v>
      </c>
    </row>
    <row r="467">
      <c r="A467" s="23"/>
      <c r="B467" s="23"/>
      <c r="C467" s="23"/>
      <c r="D467" s="23"/>
      <c r="E467" s="24" t="str">
        <f>IFERROR(__xludf.DUMMYFUNCTION("""COMPUTED_VALUE"""),"#N/A")</f>
        <v>#N/A</v>
      </c>
      <c r="F467" s="24" t="str">
        <f>IFERROR(__xludf.DUMMYFUNCTION("""COMPUTED_VALUE"""),"#N/A")</f>
        <v>#N/A</v>
      </c>
    </row>
    <row r="468">
      <c r="A468" s="23"/>
      <c r="B468" s="23"/>
      <c r="C468" s="23"/>
      <c r="D468" s="23"/>
      <c r="E468" s="24" t="str">
        <f>IFERROR(__xludf.DUMMYFUNCTION("""COMPUTED_VALUE"""),"#N/A")</f>
        <v>#N/A</v>
      </c>
      <c r="F468" s="24" t="str">
        <f>IFERROR(__xludf.DUMMYFUNCTION("""COMPUTED_VALUE"""),"#N/A")</f>
        <v>#N/A</v>
      </c>
    </row>
    <row r="469">
      <c r="A469" s="23"/>
      <c r="B469" s="23"/>
      <c r="C469" s="23"/>
      <c r="D469" s="23"/>
      <c r="E469" s="24" t="str">
        <f>IFERROR(__xludf.DUMMYFUNCTION("""COMPUTED_VALUE"""),"#N/A")</f>
        <v>#N/A</v>
      </c>
      <c r="F469" s="24" t="str">
        <f>IFERROR(__xludf.DUMMYFUNCTION("""COMPUTED_VALUE"""),"#N/A")</f>
        <v>#N/A</v>
      </c>
    </row>
    <row r="470">
      <c r="A470" s="23"/>
      <c r="B470" s="23"/>
      <c r="C470" s="23"/>
      <c r="D470" s="23"/>
      <c r="E470" s="24" t="str">
        <f>IFERROR(__xludf.DUMMYFUNCTION("""COMPUTED_VALUE"""),"#N/A")</f>
        <v>#N/A</v>
      </c>
      <c r="F470" s="24" t="str">
        <f>IFERROR(__xludf.DUMMYFUNCTION("""COMPUTED_VALUE"""),"#N/A")</f>
        <v>#N/A</v>
      </c>
    </row>
    <row r="471">
      <c r="A471" s="23"/>
      <c r="B471" s="23"/>
      <c r="C471" s="23"/>
      <c r="D471" s="23"/>
      <c r="E471" s="24" t="str">
        <f>IFERROR(__xludf.DUMMYFUNCTION("""COMPUTED_VALUE"""),"#N/A")</f>
        <v>#N/A</v>
      </c>
      <c r="F471" s="24" t="str">
        <f>IFERROR(__xludf.DUMMYFUNCTION("""COMPUTED_VALUE"""),"#N/A")</f>
        <v>#N/A</v>
      </c>
    </row>
    <row r="472">
      <c r="A472" s="23"/>
      <c r="B472" s="23"/>
      <c r="C472" s="23"/>
      <c r="D472" s="23"/>
      <c r="E472" s="24" t="str">
        <f>IFERROR(__xludf.DUMMYFUNCTION("""COMPUTED_VALUE"""),"#N/A")</f>
        <v>#N/A</v>
      </c>
      <c r="F472" s="24" t="str">
        <f>IFERROR(__xludf.DUMMYFUNCTION("""COMPUTED_VALUE"""),"#N/A")</f>
        <v>#N/A</v>
      </c>
    </row>
    <row r="473">
      <c r="A473" s="23"/>
      <c r="B473" s="23"/>
      <c r="C473" s="23"/>
      <c r="D473" s="23"/>
      <c r="E473" s="24" t="str">
        <f>IFERROR(__xludf.DUMMYFUNCTION("""COMPUTED_VALUE"""),"#N/A")</f>
        <v>#N/A</v>
      </c>
      <c r="F473" s="24" t="str">
        <f>IFERROR(__xludf.DUMMYFUNCTION("""COMPUTED_VALUE"""),"#N/A")</f>
        <v>#N/A</v>
      </c>
    </row>
    <row r="474">
      <c r="A474" s="23"/>
      <c r="B474" s="23"/>
      <c r="C474" s="23"/>
      <c r="D474" s="23"/>
      <c r="E474" s="24" t="str">
        <f>IFERROR(__xludf.DUMMYFUNCTION("""COMPUTED_VALUE"""),"#N/A")</f>
        <v>#N/A</v>
      </c>
      <c r="F474" s="24" t="str">
        <f>IFERROR(__xludf.DUMMYFUNCTION("""COMPUTED_VALUE"""),"#N/A")</f>
        <v>#N/A</v>
      </c>
    </row>
    <row r="475">
      <c r="A475" s="23"/>
      <c r="B475" s="23"/>
      <c r="C475" s="23"/>
      <c r="D475" s="23"/>
      <c r="E475" s="24" t="str">
        <f>IFERROR(__xludf.DUMMYFUNCTION("""COMPUTED_VALUE"""),"#N/A")</f>
        <v>#N/A</v>
      </c>
      <c r="F475" s="24" t="str">
        <f>IFERROR(__xludf.DUMMYFUNCTION("""COMPUTED_VALUE"""),"#N/A")</f>
        <v>#N/A</v>
      </c>
    </row>
    <row r="476">
      <c r="A476" s="23"/>
      <c r="B476" s="23"/>
      <c r="C476" s="23"/>
      <c r="D476" s="23"/>
      <c r="E476" s="24" t="str">
        <f>IFERROR(__xludf.DUMMYFUNCTION("""COMPUTED_VALUE"""),"#N/A")</f>
        <v>#N/A</v>
      </c>
      <c r="F476" s="24" t="str">
        <f>IFERROR(__xludf.DUMMYFUNCTION("""COMPUTED_VALUE"""),"#N/A")</f>
        <v>#N/A</v>
      </c>
    </row>
    <row r="477">
      <c r="A477" s="23"/>
      <c r="B477" s="23"/>
      <c r="C477" s="23"/>
      <c r="D477" s="23"/>
      <c r="E477" s="24" t="str">
        <f>IFERROR(__xludf.DUMMYFUNCTION("""COMPUTED_VALUE"""),"#N/A")</f>
        <v>#N/A</v>
      </c>
      <c r="F477" s="24" t="str">
        <f>IFERROR(__xludf.DUMMYFUNCTION("""COMPUTED_VALUE"""),"#N/A")</f>
        <v>#N/A</v>
      </c>
    </row>
    <row r="478">
      <c r="A478" s="23"/>
      <c r="B478" s="23"/>
      <c r="C478" s="23"/>
      <c r="D478" s="23"/>
      <c r="E478" s="24" t="str">
        <f>IFERROR(__xludf.DUMMYFUNCTION("""COMPUTED_VALUE"""),"#N/A")</f>
        <v>#N/A</v>
      </c>
      <c r="F478" s="24" t="str">
        <f>IFERROR(__xludf.DUMMYFUNCTION("""COMPUTED_VALUE"""),"#N/A")</f>
        <v>#N/A</v>
      </c>
    </row>
    <row r="479">
      <c r="A479" s="23"/>
      <c r="B479" s="23"/>
      <c r="C479" s="23"/>
      <c r="D479" s="23"/>
      <c r="E479" s="24" t="str">
        <f>IFERROR(__xludf.DUMMYFUNCTION("""COMPUTED_VALUE"""),"#N/A")</f>
        <v>#N/A</v>
      </c>
      <c r="F479" s="24" t="str">
        <f>IFERROR(__xludf.DUMMYFUNCTION("""COMPUTED_VALUE"""),"#N/A")</f>
        <v>#N/A</v>
      </c>
    </row>
    <row r="480">
      <c r="A480" s="23"/>
      <c r="B480" s="23"/>
      <c r="C480" s="23"/>
      <c r="D480" s="23"/>
      <c r="E480" s="24" t="str">
        <f>IFERROR(__xludf.DUMMYFUNCTION("""COMPUTED_VALUE"""),"#N/A")</f>
        <v>#N/A</v>
      </c>
      <c r="F480" s="24" t="str">
        <f>IFERROR(__xludf.DUMMYFUNCTION("""COMPUTED_VALUE"""),"#N/A")</f>
        <v>#N/A</v>
      </c>
    </row>
    <row r="481">
      <c r="A481" s="23"/>
      <c r="B481" s="23"/>
      <c r="C481" s="23"/>
      <c r="D481" s="23"/>
      <c r="E481" s="24" t="str">
        <f>IFERROR(__xludf.DUMMYFUNCTION("""COMPUTED_VALUE"""),"#N/A")</f>
        <v>#N/A</v>
      </c>
      <c r="F481" s="24" t="str">
        <f>IFERROR(__xludf.DUMMYFUNCTION("""COMPUTED_VALUE"""),"#N/A")</f>
        <v>#N/A</v>
      </c>
    </row>
    <row r="482">
      <c r="A482" s="23"/>
      <c r="B482" s="23"/>
      <c r="C482" s="23"/>
      <c r="D482" s="23"/>
      <c r="E482" s="24" t="str">
        <f>IFERROR(__xludf.DUMMYFUNCTION("""COMPUTED_VALUE"""),"#N/A")</f>
        <v>#N/A</v>
      </c>
      <c r="F482" s="24" t="str">
        <f>IFERROR(__xludf.DUMMYFUNCTION("""COMPUTED_VALUE"""),"#N/A")</f>
        <v>#N/A</v>
      </c>
    </row>
    <row r="483">
      <c r="A483" s="23"/>
      <c r="B483" s="23"/>
      <c r="C483" s="23"/>
      <c r="D483" s="23"/>
      <c r="E483" s="24" t="str">
        <f>IFERROR(__xludf.DUMMYFUNCTION("""COMPUTED_VALUE"""),"#N/A")</f>
        <v>#N/A</v>
      </c>
      <c r="F483" s="24" t="str">
        <f>IFERROR(__xludf.DUMMYFUNCTION("""COMPUTED_VALUE"""),"#N/A")</f>
        <v>#N/A</v>
      </c>
    </row>
    <row r="484">
      <c r="A484" s="23"/>
      <c r="B484" s="23"/>
      <c r="C484" s="23"/>
      <c r="D484" s="23"/>
      <c r="E484" s="24" t="str">
        <f>IFERROR(__xludf.DUMMYFUNCTION("""COMPUTED_VALUE"""),"#N/A")</f>
        <v>#N/A</v>
      </c>
      <c r="F484" s="24" t="str">
        <f>IFERROR(__xludf.DUMMYFUNCTION("""COMPUTED_VALUE"""),"#N/A")</f>
        <v>#N/A</v>
      </c>
    </row>
    <row r="485">
      <c r="A485" s="23"/>
      <c r="B485" s="23"/>
      <c r="C485" s="23"/>
      <c r="D485" s="23"/>
      <c r="E485" s="24" t="str">
        <f>IFERROR(__xludf.DUMMYFUNCTION("""COMPUTED_VALUE"""),"#N/A")</f>
        <v>#N/A</v>
      </c>
      <c r="F485" s="24" t="str">
        <f>IFERROR(__xludf.DUMMYFUNCTION("""COMPUTED_VALUE"""),"#N/A")</f>
        <v>#N/A</v>
      </c>
    </row>
    <row r="486">
      <c r="A486" s="23"/>
      <c r="B486" s="23"/>
      <c r="C486" s="23"/>
      <c r="D486" s="23"/>
      <c r="E486" s="24" t="str">
        <f>IFERROR(__xludf.DUMMYFUNCTION("""COMPUTED_VALUE"""),"#N/A")</f>
        <v>#N/A</v>
      </c>
      <c r="F486" s="24" t="str">
        <f>IFERROR(__xludf.DUMMYFUNCTION("""COMPUTED_VALUE"""),"#N/A")</f>
        <v>#N/A</v>
      </c>
    </row>
    <row r="487">
      <c r="A487" s="23"/>
      <c r="B487" s="23"/>
      <c r="C487" s="23"/>
      <c r="D487" s="23"/>
      <c r="E487" s="24" t="str">
        <f>IFERROR(__xludf.DUMMYFUNCTION("""COMPUTED_VALUE"""),"#N/A")</f>
        <v>#N/A</v>
      </c>
      <c r="F487" s="24" t="str">
        <f>IFERROR(__xludf.DUMMYFUNCTION("""COMPUTED_VALUE"""),"#N/A")</f>
        <v>#N/A</v>
      </c>
    </row>
    <row r="488">
      <c r="A488" s="23"/>
      <c r="B488" s="23"/>
      <c r="C488" s="23"/>
      <c r="D488" s="23"/>
      <c r="E488" s="24" t="str">
        <f>IFERROR(__xludf.DUMMYFUNCTION("""COMPUTED_VALUE"""),"#N/A")</f>
        <v>#N/A</v>
      </c>
      <c r="F488" s="24" t="str">
        <f>IFERROR(__xludf.DUMMYFUNCTION("""COMPUTED_VALUE"""),"#N/A")</f>
        <v>#N/A</v>
      </c>
    </row>
    <row r="489">
      <c r="A489" s="23"/>
      <c r="B489" s="23"/>
      <c r="C489" s="23"/>
      <c r="D489" s="23"/>
      <c r="E489" s="24" t="str">
        <f>IFERROR(__xludf.DUMMYFUNCTION("""COMPUTED_VALUE"""),"#N/A")</f>
        <v>#N/A</v>
      </c>
      <c r="F489" s="24" t="str">
        <f>IFERROR(__xludf.DUMMYFUNCTION("""COMPUTED_VALUE"""),"#N/A")</f>
        <v>#N/A</v>
      </c>
    </row>
    <row r="490">
      <c r="A490" s="23"/>
      <c r="B490" s="23"/>
      <c r="C490" s="23"/>
      <c r="D490" s="23"/>
      <c r="E490" s="24" t="str">
        <f>IFERROR(__xludf.DUMMYFUNCTION("""COMPUTED_VALUE"""),"#N/A")</f>
        <v>#N/A</v>
      </c>
      <c r="F490" s="24" t="str">
        <f>IFERROR(__xludf.DUMMYFUNCTION("""COMPUTED_VALUE"""),"#N/A")</f>
        <v>#N/A</v>
      </c>
    </row>
    <row r="491">
      <c r="A491" s="23"/>
      <c r="B491" s="23"/>
      <c r="C491" s="23"/>
      <c r="D491" s="23"/>
      <c r="E491" s="24" t="str">
        <f>IFERROR(__xludf.DUMMYFUNCTION("""COMPUTED_VALUE"""),"#N/A")</f>
        <v>#N/A</v>
      </c>
      <c r="F491" s="24" t="str">
        <f>IFERROR(__xludf.DUMMYFUNCTION("""COMPUTED_VALUE"""),"#N/A")</f>
        <v>#N/A</v>
      </c>
    </row>
    <row r="492">
      <c r="A492" s="23"/>
      <c r="B492" s="23"/>
      <c r="C492" s="23"/>
      <c r="D492" s="23"/>
      <c r="E492" s="24" t="str">
        <f>IFERROR(__xludf.DUMMYFUNCTION("""COMPUTED_VALUE"""),"#N/A")</f>
        <v>#N/A</v>
      </c>
      <c r="F492" s="24" t="str">
        <f>IFERROR(__xludf.DUMMYFUNCTION("""COMPUTED_VALUE"""),"#N/A")</f>
        <v>#N/A</v>
      </c>
    </row>
    <row r="493">
      <c r="A493" s="23"/>
      <c r="B493" s="23"/>
      <c r="C493" s="23"/>
      <c r="D493" s="23"/>
      <c r="E493" s="24" t="str">
        <f>IFERROR(__xludf.DUMMYFUNCTION("""COMPUTED_VALUE"""),"#N/A")</f>
        <v>#N/A</v>
      </c>
      <c r="F493" s="24" t="str">
        <f>IFERROR(__xludf.DUMMYFUNCTION("""COMPUTED_VALUE"""),"#N/A")</f>
        <v>#N/A</v>
      </c>
    </row>
    <row r="494">
      <c r="A494" s="23"/>
      <c r="B494" s="23"/>
      <c r="C494" s="23"/>
      <c r="D494" s="23"/>
      <c r="E494" s="24" t="str">
        <f>IFERROR(__xludf.DUMMYFUNCTION("""COMPUTED_VALUE"""),"#N/A")</f>
        <v>#N/A</v>
      </c>
      <c r="F494" s="24" t="str">
        <f>IFERROR(__xludf.DUMMYFUNCTION("""COMPUTED_VALUE"""),"#N/A")</f>
        <v>#N/A</v>
      </c>
    </row>
    <row r="495">
      <c r="A495" s="23"/>
      <c r="B495" s="23"/>
      <c r="C495" s="23"/>
      <c r="D495" s="23"/>
      <c r="E495" s="24" t="str">
        <f>IFERROR(__xludf.DUMMYFUNCTION("""COMPUTED_VALUE"""),"#N/A")</f>
        <v>#N/A</v>
      </c>
      <c r="F495" s="24" t="str">
        <f>IFERROR(__xludf.DUMMYFUNCTION("""COMPUTED_VALUE"""),"#N/A")</f>
        <v>#N/A</v>
      </c>
    </row>
    <row r="496">
      <c r="A496" s="23"/>
      <c r="B496" s="23"/>
      <c r="C496" s="23"/>
      <c r="D496" s="23"/>
      <c r="E496" s="24" t="str">
        <f>IFERROR(__xludf.DUMMYFUNCTION("""COMPUTED_VALUE"""),"#N/A")</f>
        <v>#N/A</v>
      </c>
      <c r="F496" s="24" t="str">
        <f>IFERROR(__xludf.DUMMYFUNCTION("""COMPUTED_VALUE"""),"#N/A")</f>
        <v>#N/A</v>
      </c>
    </row>
    <row r="497">
      <c r="A497" s="23"/>
      <c r="B497" s="23"/>
      <c r="C497" s="23"/>
      <c r="D497" s="23"/>
      <c r="E497" s="24" t="str">
        <f>IFERROR(__xludf.DUMMYFUNCTION("""COMPUTED_VALUE"""),"#N/A")</f>
        <v>#N/A</v>
      </c>
      <c r="F497" s="24" t="str">
        <f>IFERROR(__xludf.DUMMYFUNCTION("""COMPUTED_VALUE"""),"#N/A")</f>
        <v>#N/A</v>
      </c>
    </row>
    <row r="498">
      <c r="A498" s="23"/>
      <c r="B498" s="23"/>
      <c r="C498" s="23"/>
      <c r="D498" s="23"/>
      <c r="E498" s="24" t="str">
        <f>IFERROR(__xludf.DUMMYFUNCTION("""COMPUTED_VALUE"""),"#N/A")</f>
        <v>#N/A</v>
      </c>
      <c r="F498" s="24" t="str">
        <f>IFERROR(__xludf.DUMMYFUNCTION("""COMPUTED_VALUE"""),"#N/A")</f>
        <v>#N/A</v>
      </c>
    </row>
    <row r="499">
      <c r="A499" s="23"/>
      <c r="B499" s="23"/>
      <c r="C499" s="23"/>
      <c r="D499" s="23"/>
      <c r="E499" s="24" t="str">
        <f>IFERROR(__xludf.DUMMYFUNCTION("""COMPUTED_VALUE"""),"#N/A")</f>
        <v>#N/A</v>
      </c>
      <c r="F499" s="24" t="str">
        <f>IFERROR(__xludf.DUMMYFUNCTION("""COMPUTED_VALUE"""),"#N/A")</f>
        <v>#N/A</v>
      </c>
    </row>
    <row r="500">
      <c r="A500" s="23"/>
      <c r="B500" s="23"/>
      <c r="C500" s="23"/>
      <c r="D500" s="23"/>
      <c r="E500" s="24" t="str">
        <f>IFERROR(__xludf.DUMMYFUNCTION("""COMPUTED_VALUE"""),"#N/A")</f>
        <v>#N/A</v>
      </c>
      <c r="F500" s="24" t="str">
        <f>IFERROR(__xludf.DUMMYFUNCTION("""COMPUTED_VALUE"""),"#N/A")</f>
        <v>#N/A</v>
      </c>
    </row>
    <row r="501">
      <c r="A501" s="23"/>
      <c r="B501" s="23"/>
      <c r="C501" s="23"/>
      <c r="D501" s="23"/>
      <c r="E501" s="24" t="str">
        <f>IFERROR(__xludf.DUMMYFUNCTION("""COMPUTED_VALUE"""),"#N/A")</f>
        <v>#N/A</v>
      </c>
      <c r="F501" s="24" t="str">
        <f>IFERROR(__xludf.DUMMYFUNCTION("""COMPUTED_VALUE"""),"#N/A")</f>
        <v>#N/A</v>
      </c>
    </row>
    <row r="502">
      <c r="A502" s="23"/>
      <c r="B502" s="23"/>
      <c r="C502" s="23"/>
      <c r="D502" s="23"/>
      <c r="E502" s="24" t="str">
        <f>IFERROR(__xludf.DUMMYFUNCTION("""COMPUTED_VALUE"""),"#N/A")</f>
        <v>#N/A</v>
      </c>
      <c r="F502" s="24" t="str">
        <f>IFERROR(__xludf.DUMMYFUNCTION("""COMPUTED_VALUE"""),"#N/A")</f>
        <v>#N/A</v>
      </c>
    </row>
    <row r="503">
      <c r="A503" s="23"/>
      <c r="B503" s="23"/>
      <c r="C503" s="23"/>
      <c r="D503" s="23"/>
      <c r="E503" s="24" t="str">
        <f>IFERROR(__xludf.DUMMYFUNCTION("""COMPUTED_VALUE"""),"#N/A")</f>
        <v>#N/A</v>
      </c>
      <c r="F503" s="24" t="str">
        <f>IFERROR(__xludf.DUMMYFUNCTION("""COMPUTED_VALUE"""),"#N/A")</f>
        <v>#N/A</v>
      </c>
    </row>
    <row r="504">
      <c r="A504" s="23"/>
      <c r="B504" s="23"/>
      <c r="C504" s="23"/>
      <c r="D504" s="23"/>
      <c r="E504" s="24" t="str">
        <f>IFERROR(__xludf.DUMMYFUNCTION("""COMPUTED_VALUE"""),"#N/A")</f>
        <v>#N/A</v>
      </c>
      <c r="F504" s="24" t="str">
        <f>IFERROR(__xludf.DUMMYFUNCTION("""COMPUTED_VALUE"""),"#N/A")</f>
        <v>#N/A</v>
      </c>
    </row>
    <row r="505">
      <c r="A505" s="23"/>
      <c r="B505" s="23"/>
      <c r="C505" s="23"/>
      <c r="D505" s="23"/>
      <c r="E505" s="24" t="str">
        <f>IFERROR(__xludf.DUMMYFUNCTION("""COMPUTED_VALUE"""),"#N/A")</f>
        <v>#N/A</v>
      </c>
      <c r="F505" s="24" t="str">
        <f>IFERROR(__xludf.DUMMYFUNCTION("""COMPUTED_VALUE"""),"#N/A")</f>
        <v>#N/A</v>
      </c>
    </row>
    <row r="506">
      <c r="A506" s="23"/>
      <c r="B506" s="23"/>
      <c r="C506" s="23"/>
      <c r="D506" s="23"/>
      <c r="E506" s="24" t="str">
        <f>IFERROR(__xludf.DUMMYFUNCTION("""COMPUTED_VALUE"""),"#N/A")</f>
        <v>#N/A</v>
      </c>
      <c r="F506" s="24" t="str">
        <f>IFERROR(__xludf.DUMMYFUNCTION("""COMPUTED_VALUE"""),"#N/A")</f>
        <v>#N/A</v>
      </c>
    </row>
    <row r="507">
      <c r="A507" s="23"/>
      <c r="B507" s="23"/>
      <c r="C507" s="23"/>
      <c r="D507" s="23"/>
      <c r="E507" s="24" t="str">
        <f>IFERROR(__xludf.DUMMYFUNCTION("""COMPUTED_VALUE"""),"#N/A")</f>
        <v>#N/A</v>
      </c>
      <c r="F507" s="24" t="str">
        <f>IFERROR(__xludf.DUMMYFUNCTION("""COMPUTED_VALUE"""),"#N/A")</f>
        <v>#N/A</v>
      </c>
    </row>
    <row r="508">
      <c r="A508" s="23"/>
      <c r="B508" s="23"/>
      <c r="C508" s="23"/>
      <c r="D508" s="23"/>
      <c r="E508" s="24" t="str">
        <f>IFERROR(__xludf.DUMMYFUNCTION("""COMPUTED_VALUE"""),"#N/A")</f>
        <v>#N/A</v>
      </c>
      <c r="F508" s="24" t="str">
        <f>IFERROR(__xludf.DUMMYFUNCTION("""COMPUTED_VALUE"""),"#N/A")</f>
        <v>#N/A</v>
      </c>
    </row>
    <row r="509">
      <c r="A509" s="23"/>
      <c r="B509" s="23"/>
      <c r="C509" s="23"/>
      <c r="D509" s="23"/>
      <c r="E509" s="24" t="str">
        <f>IFERROR(__xludf.DUMMYFUNCTION("""COMPUTED_VALUE"""),"#N/A")</f>
        <v>#N/A</v>
      </c>
      <c r="F509" s="24" t="str">
        <f>IFERROR(__xludf.DUMMYFUNCTION("""COMPUTED_VALUE"""),"#N/A")</f>
        <v>#N/A</v>
      </c>
    </row>
    <row r="510">
      <c r="A510" s="23"/>
      <c r="B510" s="23"/>
      <c r="C510" s="23"/>
      <c r="D510" s="23"/>
      <c r="E510" s="24" t="str">
        <f>IFERROR(__xludf.DUMMYFUNCTION("""COMPUTED_VALUE"""),"#N/A")</f>
        <v>#N/A</v>
      </c>
      <c r="F510" s="24" t="str">
        <f>IFERROR(__xludf.DUMMYFUNCTION("""COMPUTED_VALUE"""),"#N/A")</f>
        <v>#N/A</v>
      </c>
    </row>
    <row r="511">
      <c r="A511" s="23"/>
      <c r="B511" s="23"/>
      <c r="C511" s="23"/>
      <c r="D511" s="23"/>
      <c r="E511" s="24" t="str">
        <f>IFERROR(__xludf.DUMMYFUNCTION("""COMPUTED_VALUE"""),"#N/A")</f>
        <v>#N/A</v>
      </c>
      <c r="F511" s="24" t="str">
        <f>IFERROR(__xludf.DUMMYFUNCTION("""COMPUTED_VALUE"""),"#N/A")</f>
        <v>#N/A</v>
      </c>
    </row>
    <row r="512">
      <c r="A512" s="23"/>
      <c r="B512" s="23"/>
      <c r="C512" s="23"/>
      <c r="D512" s="23"/>
      <c r="E512" s="24" t="str">
        <f>IFERROR(__xludf.DUMMYFUNCTION("""COMPUTED_VALUE"""),"#N/A")</f>
        <v>#N/A</v>
      </c>
      <c r="F512" s="24" t="str">
        <f>IFERROR(__xludf.DUMMYFUNCTION("""COMPUTED_VALUE"""),"#N/A")</f>
        <v>#N/A</v>
      </c>
    </row>
    <row r="513">
      <c r="A513" s="23"/>
      <c r="B513" s="23"/>
      <c r="C513" s="23"/>
      <c r="D513" s="23"/>
      <c r="E513" s="24" t="str">
        <f>IFERROR(__xludf.DUMMYFUNCTION("""COMPUTED_VALUE"""),"#N/A")</f>
        <v>#N/A</v>
      </c>
      <c r="F513" s="24" t="str">
        <f>IFERROR(__xludf.DUMMYFUNCTION("""COMPUTED_VALUE"""),"#N/A")</f>
        <v>#N/A</v>
      </c>
    </row>
    <row r="514">
      <c r="A514" s="23"/>
      <c r="B514" s="23"/>
      <c r="C514" s="23"/>
      <c r="D514" s="23"/>
      <c r="E514" s="24" t="str">
        <f>IFERROR(__xludf.DUMMYFUNCTION("""COMPUTED_VALUE"""),"#N/A")</f>
        <v>#N/A</v>
      </c>
      <c r="F514" s="24" t="str">
        <f>IFERROR(__xludf.DUMMYFUNCTION("""COMPUTED_VALUE"""),"#N/A")</f>
        <v>#N/A</v>
      </c>
    </row>
    <row r="515">
      <c r="A515" s="23"/>
      <c r="B515" s="23"/>
      <c r="C515" s="23"/>
      <c r="D515" s="23"/>
      <c r="E515" s="24" t="str">
        <f>IFERROR(__xludf.DUMMYFUNCTION("""COMPUTED_VALUE"""),"#N/A")</f>
        <v>#N/A</v>
      </c>
      <c r="F515" s="24" t="str">
        <f>IFERROR(__xludf.DUMMYFUNCTION("""COMPUTED_VALUE"""),"#N/A")</f>
        <v>#N/A</v>
      </c>
    </row>
    <row r="516">
      <c r="A516" s="23"/>
      <c r="B516" s="23"/>
      <c r="C516" s="23"/>
      <c r="D516" s="23"/>
      <c r="E516" s="24" t="str">
        <f>IFERROR(__xludf.DUMMYFUNCTION("""COMPUTED_VALUE"""),"#N/A")</f>
        <v>#N/A</v>
      </c>
      <c r="F516" s="24" t="str">
        <f>IFERROR(__xludf.DUMMYFUNCTION("""COMPUTED_VALUE"""),"#N/A")</f>
        <v>#N/A</v>
      </c>
    </row>
    <row r="517">
      <c r="A517" s="23"/>
      <c r="B517" s="23"/>
      <c r="C517" s="23"/>
      <c r="D517" s="23"/>
      <c r="E517" s="24" t="str">
        <f>IFERROR(__xludf.DUMMYFUNCTION("""COMPUTED_VALUE"""),"#N/A")</f>
        <v>#N/A</v>
      </c>
      <c r="F517" s="24" t="str">
        <f>IFERROR(__xludf.DUMMYFUNCTION("""COMPUTED_VALUE"""),"#N/A")</f>
        <v>#N/A</v>
      </c>
    </row>
    <row r="518">
      <c r="A518" s="23"/>
      <c r="B518" s="23"/>
      <c r="C518" s="23"/>
      <c r="D518" s="23"/>
      <c r="E518" s="24" t="str">
        <f>IFERROR(__xludf.DUMMYFUNCTION("""COMPUTED_VALUE"""),"#N/A")</f>
        <v>#N/A</v>
      </c>
      <c r="F518" s="24" t="str">
        <f>IFERROR(__xludf.DUMMYFUNCTION("""COMPUTED_VALUE"""),"#N/A")</f>
        <v>#N/A</v>
      </c>
    </row>
    <row r="519">
      <c r="A519" s="23"/>
      <c r="B519" s="23"/>
      <c r="C519" s="23"/>
      <c r="D519" s="23"/>
      <c r="E519" s="24" t="str">
        <f>IFERROR(__xludf.DUMMYFUNCTION("""COMPUTED_VALUE"""),"#N/A")</f>
        <v>#N/A</v>
      </c>
      <c r="F519" s="24" t="str">
        <f>IFERROR(__xludf.DUMMYFUNCTION("""COMPUTED_VALUE"""),"#N/A")</f>
        <v>#N/A</v>
      </c>
    </row>
    <row r="520">
      <c r="A520" s="23"/>
      <c r="B520" s="23"/>
      <c r="C520" s="23"/>
      <c r="D520" s="23"/>
      <c r="E520" s="24" t="str">
        <f>IFERROR(__xludf.DUMMYFUNCTION("""COMPUTED_VALUE"""),"#N/A")</f>
        <v>#N/A</v>
      </c>
      <c r="F520" s="24" t="str">
        <f>IFERROR(__xludf.DUMMYFUNCTION("""COMPUTED_VALUE"""),"#N/A")</f>
        <v>#N/A</v>
      </c>
    </row>
    <row r="521">
      <c r="A521" s="23"/>
      <c r="B521" s="23"/>
      <c r="C521" s="23"/>
      <c r="D521" s="23"/>
      <c r="E521" s="24" t="str">
        <f>IFERROR(__xludf.DUMMYFUNCTION("""COMPUTED_VALUE"""),"#N/A")</f>
        <v>#N/A</v>
      </c>
      <c r="F521" s="24" t="str">
        <f>IFERROR(__xludf.DUMMYFUNCTION("""COMPUTED_VALUE"""),"#N/A")</f>
        <v>#N/A</v>
      </c>
    </row>
    <row r="522">
      <c r="A522" s="23"/>
      <c r="B522" s="23"/>
      <c r="C522" s="23"/>
      <c r="D522" s="23"/>
      <c r="E522" s="24" t="str">
        <f>IFERROR(__xludf.DUMMYFUNCTION("""COMPUTED_VALUE"""),"#N/A")</f>
        <v>#N/A</v>
      </c>
      <c r="F522" s="24" t="str">
        <f>IFERROR(__xludf.DUMMYFUNCTION("""COMPUTED_VALUE"""),"#N/A")</f>
        <v>#N/A</v>
      </c>
    </row>
    <row r="523">
      <c r="A523" s="23"/>
      <c r="B523" s="23"/>
      <c r="C523" s="23"/>
      <c r="D523" s="23"/>
      <c r="E523" s="24" t="str">
        <f>IFERROR(__xludf.DUMMYFUNCTION("""COMPUTED_VALUE"""),"#N/A")</f>
        <v>#N/A</v>
      </c>
      <c r="F523" s="24" t="str">
        <f>IFERROR(__xludf.DUMMYFUNCTION("""COMPUTED_VALUE"""),"#N/A")</f>
        <v>#N/A</v>
      </c>
    </row>
    <row r="524">
      <c r="A524" s="23"/>
      <c r="B524" s="23"/>
      <c r="C524" s="23"/>
      <c r="D524" s="23"/>
      <c r="E524" s="24" t="str">
        <f>IFERROR(__xludf.DUMMYFUNCTION("""COMPUTED_VALUE"""),"#N/A")</f>
        <v>#N/A</v>
      </c>
      <c r="F524" s="24" t="str">
        <f>IFERROR(__xludf.DUMMYFUNCTION("""COMPUTED_VALUE"""),"#N/A")</f>
        <v>#N/A</v>
      </c>
    </row>
    <row r="525">
      <c r="A525" s="23"/>
      <c r="B525" s="23"/>
      <c r="C525" s="23"/>
      <c r="D525" s="23"/>
      <c r="E525" s="24" t="str">
        <f>IFERROR(__xludf.DUMMYFUNCTION("""COMPUTED_VALUE"""),"#N/A")</f>
        <v>#N/A</v>
      </c>
      <c r="F525" s="24" t="str">
        <f>IFERROR(__xludf.DUMMYFUNCTION("""COMPUTED_VALUE"""),"#N/A")</f>
        <v>#N/A</v>
      </c>
    </row>
    <row r="526">
      <c r="A526" s="23"/>
      <c r="B526" s="23"/>
      <c r="C526" s="23"/>
      <c r="D526" s="23"/>
      <c r="E526" s="24" t="str">
        <f>IFERROR(__xludf.DUMMYFUNCTION("""COMPUTED_VALUE"""),"#N/A")</f>
        <v>#N/A</v>
      </c>
      <c r="F526" s="24" t="str">
        <f>IFERROR(__xludf.DUMMYFUNCTION("""COMPUTED_VALUE"""),"#N/A")</f>
        <v>#N/A</v>
      </c>
    </row>
    <row r="527">
      <c r="A527" s="23"/>
      <c r="B527" s="23"/>
      <c r="C527" s="23"/>
      <c r="D527" s="23"/>
      <c r="E527" s="24" t="str">
        <f>IFERROR(__xludf.DUMMYFUNCTION("""COMPUTED_VALUE"""),"#N/A")</f>
        <v>#N/A</v>
      </c>
      <c r="F527" s="24" t="str">
        <f>IFERROR(__xludf.DUMMYFUNCTION("""COMPUTED_VALUE"""),"#N/A")</f>
        <v>#N/A</v>
      </c>
    </row>
    <row r="528">
      <c r="A528" s="23"/>
      <c r="B528" s="23"/>
      <c r="C528" s="23"/>
      <c r="D528" s="23"/>
      <c r="E528" s="24" t="str">
        <f>IFERROR(__xludf.DUMMYFUNCTION("""COMPUTED_VALUE"""),"#N/A")</f>
        <v>#N/A</v>
      </c>
      <c r="F528" s="24" t="str">
        <f>IFERROR(__xludf.DUMMYFUNCTION("""COMPUTED_VALUE"""),"#N/A")</f>
        <v>#N/A</v>
      </c>
    </row>
    <row r="529">
      <c r="A529" s="23"/>
      <c r="B529" s="23"/>
      <c r="C529" s="23"/>
      <c r="D529" s="23"/>
      <c r="E529" s="24" t="str">
        <f>IFERROR(__xludf.DUMMYFUNCTION("""COMPUTED_VALUE"""),"#N/A")</f>
        <v>#N/A</v>
      </c>
      <c r="F529" s="24" t="str">
        <f>IFERROR(__xludf.DUMMYFUNCTION("""COMPUTED_VALUE"""),"#N/A")</f>
        <v>#N/A</v>
      </c>
    </row>
    <row r="530">
      <c r="A530" s="23"/>
      <c r="B530" s="23"/>
      <c r="C530" s="23"/>
      <c r="D530" s="23"/>
      <c r="E530" s="24" t="str">
        <f>IFERROR(__xludf.DUMMYFUNCTION("""COMPUTED_VALUE"""),"#N/A")</f>
        <v>#N/A</v>
      </c>
      <c r="F530" s="24" t="str">
        <f>IFERROR(__xludf.DUMMYFUNCTION("""COMPUTED_VALUE"""),"#N/A")</f>
        <v>#N/A</v>
      </c>
    </row>
    <row r="531">
      <c r="A531" s="23"/>
      <c r="B531" s="23"/>
      <c r="C531" s="23"/>
      <c r="D531" s="23"/>
      <c r="E531" s="24" t="str">
        <f>IFERROR(__xludf.DUMMYFUNCTION("""COMPUTED_VALUE"""),"#N/A")</f>
        <v>#N/A</v>
      </c>
      <c r="F531" s="24" t="str">
        <f>IFERROR(__xludf.DUMMYFUNCTION("""COMPUTED_VALUE"""),"#N/A")</f>
        <v>#N/A</v>
      </c>
    </row>
    <row r="532">
      <c r="A532" s="23"/>
      <c r="B532" s="23"/>
      <c r="C532" s="23"/>
      <c r="D532" s="23"/>
      <c r="E532" s="24" t="str">
        <f>IFERROR(__xludf.DUMMYFUNCTION("""COMPUTED_VALUE"""),"#N/A")</f>
        <v>#N/A</v>
      </c>
      <c r="F532" s="24" t="str">
        <f>IFERROR(__xludf.DUMMYFUNCTION("""COMPUTED_VALUE"""),"#N/A")</f>
        <v>#N/A</v>
      </c>
    </row>
    <row r="533">
      <c r="A533" s="23"/>
      <c r="B533" s="23"/>
      <c r="C533" s="23"/>
      <c r="D533" s="23"/>
      <c r="E533" s="24" t="str">
        <f>IFERROR(__xludf.DUMMYFUNCTION("""COMPUTED_VALUE"""),"#N/A")</f>
        <v>#N/A</v>
      </c>
      <c r="F533" s="24" t="str">
        <f>IFERROR(__xludf.DUMMYFUNCTION("""COMPUTED_VALUE"""),"#N/A")</f>
        <v>#N/A</v>
      </c>
    </row>
    <row r="534">
      <c r="A534" s="23"/>
      <c r="B534" s="23"/>
      <c r="C534" s="23"/>
      <c r="D534" s="23"/>
      <c r="E534" s="24" t="str">
        <f>IFERROR(__xludf.DUMMYFUNCTION("""COMPUTED_VALUE"""),"#N/A")</f>
        <v>#N/A</v>
      </c>
      <c r="F534" s="24" t="str">
        <f>IFERROR(__xludf.DUMMYFUNCTION("""COMPUTED_VALUE"""),"#N/A")</f>
        <v>#N/A</v>
      </c>
    </row>
    <row r="535">
      <c r="A535" s="23"/>
      <c r="B535" s="23"/>
      <c r="C535" s="23"/>
      <c r="D535" s="23"/>
      <c r="E535" s="24" t="str">
        <f>IFERROR(__xludf.DUMMYFUNCTION("""COMPUTED_VALUE"""),"#N/A")</f>
        <v>#N/A</v>
      </c>
      <c r="F535" s="24" t="str">
        <f>IFERROR(__xludf.DUMMYFUNCTION("""COMPUTED_VALUE"""),"#N/A")</f>
        <v>#N/A</v>
      </c>
    </row>
    <row r="536">
      <c r="A536" s="23"/>
      <c r="B536" s="23"/>
      <c r="C536" s="23"/>
      <c r="D536" s="23"/>
      <c r="E536" s="24" t="str">
        <f>IFERROR(__xludf.DUMMYFUNCTION("""COMPUTED_VALUE"""),"#N/A")</f>
        <v>#N/A</v>
      </c>
      <c r="F536" s="24" t="str">
        <f>IFERROR(__xludf.DUMMYFUNCTION("""COMPUTED_VALUE"""),"#N/A")</f>
        <v>#N/A</v>
      </c>
    </row>
    <row r="537">
      <c r="A537" s="23"/>
      <c r="B537" s="23"/>
      <c r="C537" s="23"/>
      <c r="D537" s="23"/>
      <c r="E537" s="24" t="str">
        <f>IFERROR(__xludf.DUMMYFUNCTION("""COMPUTED_VALUE"""),"#N/A")</f>
        <v>#N/A</v>
      </c>
      <c r="F537" s="24" t="str">
        <f>IFERROR(__xludf.DUMMYFUNCTION("""COMPUTED_VALUE"""),"#N/A")</f>
        <v>#N/A</v>
      </c>
    </row>
    <row r="538">
      <c r="A538" s="23"/>
      <c r="B538" s="23"/>
      <c r="C538" s="23"/>
      <c r="D538" s="23"/>
      <c r="E538" s="24" t="str">
        <f>IFERROR(__xludf.DUMMYFUNCTION("""COMPUTED_VALUE"""),"#N/A")</f>
        <v>#N/A</v>
      </c>
      <c r="F538" s="24" t="str">
        <f>IFERROR(__xludf.DUMMYFUNCTION("""COMPUTED_VALUE"""),"#N/A")</f>
        <v>#N/A</v>
      </c>
    </row>
    <row r="539">
      <c r="A539" s="23"/>
      <c r="B539" s="23"/>
      <c r="C539" s="23"/>
      <c r="D539" s="23"/>
      <c r="E539" s="24" t="str">
        <f>IFERROR(__xludf.DUMMYFUNCTION("""COMPUTED_VALUE"""),"#N/A")</f>
        <v>#N/A</v>
      </c>
      <c r="F539" s="24" t="str">
        <f>IFERROR(__xludf.DUMMYFUNCTION("""COMPUTED_VALUE"""),"#N/A")</f>
        <v>#N/A</v>
      </c>
    </row>
    <row r="540">
      <c r="A540" s="23"/>
      <c r="B540" s="23"/>
      <c r="C540" s="23"/>
      <c r="D540" s="23"/>
      <c r="E540" s="24" t="str">
        <f>IFERROR(__xludf.DUMMYFUNCTION("""COMPUTED_VALUE"""),"#N/A")</f>
        <v>#N/A</v>
      </c>
      <c r="F540" s="24" t="str">
        <f>IFERROR(__xludf.DUMMYFUNCTION("""COMPUTED_VALUE"""),"#N/A")</f>
        <v>#N/A</v>
      </c>
    </row>
    <row r="541">
      <c r="A541" s="23"/>
      <c r="B541" s="23"/>
      <c r="C541" s="23"/>
      <c r="D541" s="23"/>
      <c r="E541" s="24" t="str">
        <f>IFERROR(__xludf.DUMMYFUNCTION("""COMPUTED_VALUE"""),"#N/A")</f>
        <v>#N/A</v>
      </c>
      <c r="F541" s="24" t="str">
        <f>IFERROR(__xludf.DUMMYFUNCTION("""COMPUTED_VALUE"""),"#N/A")</f>
        <v>#N/A</v>
      </c>
    </row>
    <row r="542">
      <c r="A542" s="23"/>
      <c r="B542" s="23"/>
      <c r="C542" s="23"/>
      <c r="D542" s="23"/>
      <c r="E542" s="24" t="str">
        <f>IFERROR(__xludf.DUMMYFUNCTION("""COMPUTED_VALUE"""),"#N/A")</f>
        <v>#N/A</v>
      </c>
      <c r="F542" s="24" t="str">
        <f>IFERROR(__xludf.DUMMYFUNCTION("""COMPUTED_VALUE"""),"#N/A")</f>
        <v>#N/A</v>
      </c>
    </row>
    <row r="543">
      <c r="A543" s="23"/>
      <c r="B543" s="23"/>
      <c r="C543" s="23"/>
      <c r="D543" s="23"/>
      <c r="E543" s="24" t="str">
        <f>IFERROR(__xludf.DUMMYFUNCTION("""COMPUTED_VALUE"""),"#N/A")</f>
        <v>#N/A</v>
      </c>
      <c r="F543" s="24" t="str">
        <f>IFERROR(__xludf.DUMMYFUNCTION("""COMPUTED_VALUE"""),"#N/A")</f>
        <v>#N/A</v>
      </c>
    </row>
    <row r="544">
      <c r="A544" s="23"/>
      <c r="B544" s="23"/>
      <c r="C544" s="23"/>
      <c r="D544" s="23"/>
      <c r="E544" s="24" t="str">
        <f>IFERROR(__xludf.DUMMYFUNCTION("""COMPUTED_VALUE"""),"#N/A")</f>
        <v>#N/A</v>
      </c>
      <c r="F544" s="24" t="str">
        <f>IFERROR(__xludf.DUMMYFUNCTION("""COMPUTED_VALUE"""),"#N/A")</f>
        <v>#N/A</v>
      </c>
    </row>
    <row r="545">
      <c r="A545" s="23"/>
      <c r="B545" s="23"/>
      <c r="C545" s="23"/>
      <c r="D545" s="23"/>
      <c r="E545" s="24" t="str">
        <f>IFERROR(__xludf.DUMMYFUNCTION("""COMPUTED_VALUE"""),"#N/A")</f>
        <v>#N/A</v>
      </c>
      <c r="F545" s="24" t="str">
        <f>IFERROR(__xludf.DUMMYFUNCTION("""COMPUTED_VALUE"""),"#N/A")</f>
        <v>#N/A</v>
      </c>
    </row>
    <row r="546">
      <c r="A546" s="23"/>
      <c r="B546" s="23"/>
      <c r="C546" s="23"/>
      <c r="D546" s="23"/>
      <c r="E546" s="24" t="str">
        <f>IFERROR(__xludf.DUMMYFUNCTION("""COMPUTED_VALUE"""),"#N/A")</f>
        <v>#N/A</v>
      </c>
      <c r="F546" s="24" t="str">
        <f>IFERROR(__xludf.DUMMYFUNCTION("""COMPUTED_VALUE"""),"#N/A")</f>
        <v>#N/A</v>
      </c>
    </row>
    <row r="547">
      <c r="A547" s="23"/>
      <c r="B547" s="23"/>
      <c r="C547" s="23"/>
      <c r="D547" s="23"/>
      <c r="E547" s="24" t="str">
        <f>IFERROR(__xludf.DUMMYFUNCTION("""COMPUTED_VALUE"""),"#N/A")</f>
        <v>#N/A</v>
      </c>
      <c r="F547" s="24" t="str">
        <f>IFERROR(__xludf.DUMMYFUNCTION("""COMPUTED_VALUE"""),"#N/A")</f>
        <v>#N/A</v>
      </c>
    </row>
    <row r="548">
      <c r="A548" s="23"/>
      <c r="B548" s="23"/>
      <c r="C548" s="23"/>
      <c r="D548" s="23"/>
      <c r="E548" s="24" t="str">
        <f>IFERROR(__xludf.DUMMYFUNCTION("""COMPUTED_VALUE"""),"#N/A")</f>
        <v>#N/A</v>
      </c>
      <c r="F548" s="24" t="str">
        <f>IFERROR(__xludf.DUMMYFUNCTION("""COMPUTED_VALUE"""),"#N/A")</f>
        <v>#N/A</v>
      </c>
    </row>
    <row r="549">
      <c r="A549" s="23"/>
      <c r="B549" s="23"/>
      <c r="C549" s="23"/>
      <c r="D549" s="23"/>
      <c r="E549" s="24" t="str">
        <f>IFERROR(__xludf.DUMMYFUNCTION("""COMPUTED_VALUE"""),"#N/A")</f>
        <v>#N/A</v>
      </c>
      <c r="F549" s="24" t="str">
        <f>IFERROR(__xludf.DUMMYFUNCTION("""COMPUTED_VALUE"""),"#N/A")</f>
        <v>#N/A</v>
      </c>
    </row>
    <row r="550">
      <c r="A550" s="23"/>
      <c r="B550" s="23"/>
      <c r="C550" s="23"/>
      <c r="D550" s="23"/>
      <c r="E550" s="24" t="str">
        <f>IFERROR(__xludf.DUMMYFUNCTION("""COMPUTED_VALUE"""),"#N/A")</f>
        <v>#N/A</v>
      </c>
      <c r="F550" s="24" t="str">
        <f>IFERROR(__xludf.DUMMYFUNCTION("""COMPUTED_VALUE"""),"#N/A")</f>
        <v>#N/A</v>
      </c>
    </row>
    <row r="551">
      <c r="A551" s="23"/>
      <c r="B551" s="23"/>
      <c r="C551" s="23"/>
      <c r="D551" s="23"/>
      <c r="E551" s="24" t="str">
        <f>IFERROR(__xludf.DUMMYFUNCTION("""COMPUTED_VALUE"""),"#N/A")</f>
        <v>#N/A</v>
      </c>
      <c r="F551" s="24" t="str">
        <f>IFERROR(__xludf.DUMMYFUNCTION("""COMPUTED_VALUE"""),"#N/A")</f>
        <v>#N/A</v>
      </c>
    </row>
    <row r="552">
      <c r="A552" s="23"/>
      <c r="B552" s="23"/>
      <c r="C552" s="23"/>
      <c r="D552" s="23"/>
      <c r="E552" s="24" t="str">
        <f>IFERROR(__xludf.DUMMYFUNCTION("""COMPUTED_VALUE"""),"#N/A")</f>
        <v>#N/A</v>
      </c>
      <c r="F552" s="24" t="str">
        <f>IFERROR(__xludf.DUMMYFUNCTION("""COMPUTED_VALUE"""),"#N/A")</f>
        <v>#N/A</v>
      </c>
    </row>
    <row r="553">
      <c r="A553" s="23"/>
      <c r="B553" s="23"/>
      <c r="C553" s="23"/>
      <c r="D553" s="23"/>
      <c r="E553" s="24" t="str">
        <f>IFERROR(__xludf.DUMMYFUNCTION("""COMPUTED_VALUE"""),"#N/A")</f>
        <v>#N/A</v>
      </c>
      <c r="F553" s="24" t="str">
        <f>IFERROR(__xludf.DUMMYFUNCTION("""COMPUTED_VALUE"""),"#N/A")</f>
        <v>#N/A</v>
      </c>
    </row>
    <row r="554">
      <c r="A554" s="23"/>
      <c r="B554" s="23"/>
      <c r="C554" s="23"/>
      <c r="D554" s="23"/>
      <c r="E554" s="24" t="str">
        <f>IFERROR(__xludf.DUMMYFUNCTION("""COMPUTED_VALUE"""),"#N/A")</f>
        <v>#N/A</v>
      </c>
      <c r="F554" s="24" t="str">
        <f>IFERROR(__xludf.DUMMYFUNCTION("""COMPUTED_VALUE"""),"#N/A")</f>
        <v>#N/A</v>
      </c>
    </row>
    <row r="555">
      <c r="A555" s="23"/>
      <c r="B555" s="23"/>
      <c r="C555" s="23"/>
      <c r="D555" s="23"/>
      <c r="E555" s="24" t="str">
        <f>IFERROR(__xludf.DUMMYFUNCTION("""COMPUTED_VALUE"""),"#N/A")</f>
        <v>#N/A</v>
      </c>
      <c r="F555" s="24" t="str">
        <f>IFERROR(__xludf.DUMMYFUNCTION("""COMPUTED_VALUE"""),"#N/A")</f>
        <v>#N/A</v>
      </c>
    </row>
    <row r="556">
      <c r="A556" s="23"/>
      <c r="B556" s="23"/>
      <c r="C556" s="23"/>
      <c r="D556" s="23"/>
      <c r="E556" s="24" t="str">
        <f>IFERROR(__xludf.DUMMYFUNCTION("""COMPUTED_VALUE"""),"#N/A")</f>
        <v>#N/A</v>
      </c>
      <c r="F556" s="24" t="str">
        <f>IFERROR(__xludf.DUMMYFUNCTION("""COMPUTED_VALUE"""),"#N/A")</f>
        <v>#N/A</v>
      </c>
    </row>
    <row r="557">
      <c r="A557" s="23"/>
      <c r="B557" s="23"/>
      <c r="C557" s="23"/>
      <c r="D557" s="23"/>
      <c r="E557" s="24" t="str">
        <f>IFERROR(__xludf.DUMMYFUNCTION("""COMPUTED_VALUE"""),"#N/A")</f>
        <v>#N/A</v>
      </c>
      <c r="F557" s="24" t="str">
        <f>IFERROR(__xludf.DUMMYFUNCTION("""COMPUTED_VALUE"""),"#N/A")</f>
        <v>#N/A</v>
      </c>
    </row>
    <row r="558">
      <c r="A558" s="23"/>
      <c r="B558" s="23"/>
      <c r="C558" s="23"/>
      <c r="D558" s="23"/>
      <c r="E558" s="24" t="str">
        <f>IFERROR(__xludf.DUMMYFUNCTION("""COMPUTED_VALUE"""),"#N/A")</f>
        <v>#N/A</v>
      </c>
      <c r="F558" s="24" t="str">
        <f>IFERROR(__xludf.DUMMYFUNCTION("""COMPUTED_VALUE"""),"#N/A")</f>
        <v>#N/A</v>
      </c>
    </row>
    <row r="559">
      <c r="A559" s="23"/>
      <c r="B559" s="23"/>
      <c r="C559" s="23"/>
      <c r="D559" s="23"/>
      <c r="E559" s="24" t="str">
        <f>IFERROR(__xludf.DUMMYFUNCTION("""COMPUTED_VALUE"""),"#N/A")</f>
        <v>#N/A</v>
      </c>
      <c r="F559" s="24" t="str">
        <f>IFERROR(__xludf.DUMMYFUNCTION("""COMPUTED_VALUE"""),"#N/A")</f>
        <v>#N/A</v>
      </c>
    </row>
    <row r="560">
      <c r="A560" s="23"/>
      <c r="B560" s="23"/>
      <c r="C560" s="23"/>
      <c r="D560" s="23"/>
      <c r="E560" s="24" t="str">
        <f>IFERROR(__xludf.DUMMYFUNCTION("""COMPUTED_VALUE"""),"#N/A")</f>
        <v>#N/A</v>
      </c>
      <c r="F560" s="24" t="str">
        <f>IFERROR(__xludf.DUMMYFUNCTION("""COMPUTED_VALUE"""),"#N/A")</f>
        <v>#N/A</v>
      </c>
    </row>
    <row r="561">
      <c r="A561" s="23"/>
      <c r="B561" s="23"/>
      <c r="C561" s="23"/>
      <c r="D561" s="23"/>
      <c r="E561" s="24" t="str">
        <f>IFERROR(__xludf.DUMMYFUNCTION("""COMPUTED_VALUE"""),"#N/A")</f>
        <v>#N/A</v>
      </c>
      <c r="F561" s="24" t="str">
        <f>IFERROR(__xludf.DUMMYFUNCTION("""COMPUTED_VALUE"""),"#N/A")</f>
        <v>#N/A</v>
      </c>
    </row>
    <row r="562">
      <c r="A562" s="23"/>
      <c r="B562" s="23"/>
      <c r="C562" s="23"/>
      <c r="D562" s="23"/>
      <c r="E562" s="24" t="str">
        <f>IFERROR(__xludf.DUMMYFUNCTION("""COMPUTED_VALUE"""),"#N/A")</f>
        <v>#N/A</v>
      </c>
      <c r="F562" s="24" t="str">
        <f>IFERROR(__xludf.DUMMYFUNCTION("""COMPUTED_VALUE"""),"#N/A")</f>
        <v>#N/A</v>
      </c>
    </row>
    <row r="563">
      <c r="A563" s="23"/>
      <c r="B563" s="23"/>
      <c r="C563" s="23"/>
      <c r="D563" s="23"/>
      <c r="E563" s="24" t="str">
        <f>IFERROR(__xludf.DUMMYFUNCTION("""COMPUTED_VALUE"""),"#N/A")</f>
        <v>#N/A</v>
      </c>
      <c r="F563" s="24" t="str">
        <f>IFERROR(__xludf.DUMMYFUNCTION("""COMPUTED_VALUE"""),"#N/A")</f>
        <v>#N/A</v>
      </c>
    </row>
    <row r="564">
      <c r="A564" s="23"/>
      <c r="B564" s="23"/>
      <c r="C564" s="23"/>
      <c r="D564" s="23"/>
      <c r="E564" s="24" t="str">
        <f>IFERROR(__xludf.DUMMYFUNCTION("""COMPUTED_VALUE"""),"#N/A")</f>
        <v>#N/A</v>
      </c>
      <c r="F564" s="24" t="str">
        <f>IFERROR(__xludf.DUMMYFUNCTION("""COMPUTED_VALUE"""),"#N/A")</f>
        <v>#N/A</v>
      </c>
    </row>
    <row r="565">
      <c r="A565" s="23"/>
      <c r="B565" s="23"/>
      <c r="C565" s="23"/>
      <c r="D565" s="23"/>
      <c r="E565" s="24" t="str">
        <f>IFERROR(__xludf.DUMMYFUNCTION("""COMPUTED_VALUE"""),"#N/A")</f>
        <v>#N/A</v>
      </c>
      <c r="F565" s="24" t="str">
        <f>IFERROR(__xludf.DUMMYFUNCTION("""COMPUTED_VALUE"""),"#N/A")</f>
        <v>#N/A</v>
      </c>
    </row>
    <row r="566">
      <c r="A566" s="23"/>
      <c r="B566" s="23"/>
      <c r="C566" s="23"/>
      <c r="D566" s="23"/>
      <c r="E566" s="24" t="str">
        <f>IFERROR(__xludf.DUMMYFUNCTION("""COMPUTED_VALUE"""),"#N/A")</f>
        <v>#N/A</v>
      </c>
      <c r="F566" s="24" t="str">
        <f>IFERROR(__xludf.DUMMYFUNCTION("""COMPUTED_VALUE"""),"#N/A")</f>
        <v>#N/A</v>
      </c>
    </row>
    <row r="567">
      <c r="A567" s="23"/>
      <c r="B567" s="23"/>
      <c r="C567" s="23"/>
      <c r="D567" s="23"/>
      <c r="E567" s="24" t="str">
        <f>IFERROR(__xludf.DUMMYFUNCTION("""COMPUTED_VALUE"""),"#N/A")</f>
        <v>#N/A</v>
      </c>
      <c r="F567" s="24" t="str">
        <f>IFERROR(__xludf.DUMMYFUNCTION("""COMPUTED_VALUE"""),"#N/A")</f>
        <v>#N/A</v>
      </c>
    </row>
    <row r="568">
      <c r="A568" s="23"/>
      <c r="B568" s="23"/>
      <c r="C568" s="23"/>
      <c r="D568" s="23"/>
      <c r="E568" s="24" t="str">
        <f>IFERROR(__xludf.DUMMYFUNCTION("""COMPUTED_VALUE"""),"#N/A")</f>
        <v>#N/A</v>
      </c>
      <c r="F568" s="24" t="str">
        <f>IFERROR(__xludf.DUMMYFUNCTION("""COMPUTED_VALUE"""),"#N/A")</f>
        <v>#N/A</v>
      </c>
    </row>
    <row r="569">
      <c r="A569" s="23"/>
      <c r="B569" s="23"/>
      <c r="C569" s="23"/>
      <c r="D569" s="23"/>
      <c r="E569" s="24" t="str">
        <f>IFERROR(__xludf.DUMMYFUNCTION("""COMPUTED_VALUE"""),"#N/A")</f>
        <v>#N/A</v>
      </c>
      <c r="F569" s="24" t="str">
        <f>IFERROR(__xludf.DUMMYFUNCTION("""COMPUTED_VALUE"""),"#N/A")</f>
        <v>#N/A</v>
      </c>
    </row>
    <row r="570">
      <c r="A570" s="23"/>
      <c r="B570" s="23"/>
      <c r="C570" s="23"/>
      <c r="D570" s="23"/>
      <c r="E570" s="24" t="str">
        <f>IFERROR(__xludf.DUMMYFUNCTION("""COMPUTED_VALUE"""),"#N/A")</f>
        <v>#N/A</v>
      </c>
      <c r="F570" s="24" t="str">
        <f>IFERROR(__xludf.DUMMYFUNCTION("""COMPUTED_VALUE"""),"#N/A")</f>
        <v>#N/A</v>
      </c>
    </row>
    <row r="571">
      <c r="A571" s="23"/>
      <c r="B571" s="23"/>
      <c r="C571" s="23"/>
      <c r="D571" s="23"/>
      <c r="E571" s="24" t="str">
        <f>IFERROR(__xludf.DUMMYFUNCTION("""COMPUTED_VALUE"""),"#N/A")</f>
        <v>#N/A</v>
      </c>
      <c r="F571" s="24" t="str">
        <f>IFERROR(__xludf.DUMMYFUNCTION("""COMPUTED_VALUE"""),"#N/A")</f>
        <v>#N/A</v>
      </c>
    </row>
    <row r="572">
      <c r="A572" s="23"/>
      <c r="B572" s="23"/>
      <c r="C572" s="23"/>
      <c r="D572" s="23"/>
      <c r="E572" s="24" t="str">
        <f>IFERROR(__xludf.DUMMYFUNCTION("""COMPUTED_VALUE"""),"#N/A")</f>
        <v>#N/A</v>
      </c>
      <c r="F572" s="24" t="str">
        <f>IFERROR(__xludf.DUMMYFUNCTION("""COMPUTED_VALUE"""),"#N/A")</f>
        <v>#N/A</v>
      </c>
    </row>
    <row r="573">
      <c r="A573" s="23"/>
      <c r="B573" s="23"/>
      <c r="C573" s="23"/>
      <c r="D573" s="23"/>
      <c r="E573" s="24" t="str">
        <f>IFERROR(__xludf.DUMMYFUNCTION("""COMPUTED_VALUE"""),"#N/A")</f>
        <v>#N/A</v>
      </c>
      <c r="F573" s="24" t="str">
        <f>IFERROR(__xludf.DUMMYFUNCTION("""COMPUTED_VALUE"""),"#N/A")</f>
        <v>#N/A</v>
      </c>
    </row>
    <row r="574">
      <c r="A574" s="23"/>
      <c r="B574" s="23"/>
      <c r="C574" s="23"/>
      <c r="D574" s="23"/>
      <c r="E574" s="24" t="str">
        <f>IFERROR(__xludf.DUMMYFUNCTION("""COMPUTED_VALUE"""),"#N/A")</f>
        <v>#N/A</v>
      </c>
      <c r="F574" s="24" t="str">
        <f>IFERROR(__xludf.DUMMYFUNCTION("""COMPUTED_VALUE"""),"#N/A")</f>
        <v>#N/A</v>
      </c>
    </row>
    <row r="575">
      <c r="A575" s="23"/>
      <c r="B575" s="23"/>
      <c r="C575" s="23"/>
      <c r="D575" s="23"/>
      <c r="E575" s="24" t="str">
        <f>IFERROR(__xludf.DUMMYFUNCTION("""COMPUTED_VALUE"""),"#N/A")</f>
        <v>#N/A</v>
      </c>
      <c r="F575" s="24" t="str">
        <f>IFERROR(__xludf.DUMMYFUNCTION("""COMPUTED_VALUE"""),"#N/A")</f>
        <v>#N/A</v>
      </c>
    </row>
    <row r="576">
      <c r="A576" s="23"/>
      <c r="B576" s="23"/>
      <c r="C576" s="23"/>
      <c r="D576" s="23"/>
      <c r="E576" s="24" t="str">
        <f>IFERROR(__xludf.DUMMYFUNCTION("""COMPUTED_VALUE"""),"#N/A")</f>
        <v>#N/A</v>
      </c>
      <c r="F576" s="24" t="str">
        <f>IFERROR(__xludf.DUMMYFUNCTION("""COMPUTED_VALUE"""),"#N/A")</f>
        <v>#N/A</v>
      </c>
    </row>
    <row r="577">
      <c r="A577" s="23"/>
      <c r="B577" s="23"/>
      <c r="C577" s="23"/>
      <c r="D577" s="23"/>
      <c r="E577" s="24" t="str">
        <f>IFERROR(__xludf.DUMMYFUNCTION("""COMPUTED_VALUE"""),"#N/A")</f>
        <v>#N/A</v>
      </c>
      <c r="F577" s="24" t="str">
        <f>IFERROR(__xludf.DUMMYFUNCTION("""COMPUTED_VALUE"""),"#N/A")</f>
        <v>#N/A</v>
      </c>
    </row>
    <row r="578">
      <c r="A578" s="23"/>
      <c r="B578" s="23"/>
      <c r="C578" s="23"/>
      <c r="D578" s="23"/>
      <c r="E578" s="24" t="str">
        <f>IFERROR(__xludf.DUMMYFUNCTION("""COMPUTED_VALUE"""),"#N/A")</f>
        <v>#N/A</v>
      </c>
      <c r="F578" s="24" t="str">
        <f>IFERROR(__xludf.DUMMYFUNCTION("""COMPUTED_VALUE"""),"#N/A")</f>
        <v>#N/A</v>
      </c>
    </row>
    <row r="579">
      <c r="A579" s="23"/>
      <c r="B579" s="23"/>
      <c r="C579" s="23"/>
      <c r="D579" s="23"/>
      <c r="E579" s="24" t="str">
        <f>IFERROR(__xludf.DUMMYFUNCTION("""COMPUTED_VALUE"""),"#N/A")</f>
        <v>#N/A</v>
      </c>
      <c r="F579" s="24" t="str">
        <f>IFERROR(__xludf.DUMMYFUNCTION("""COMPUTED_VALUE"""),"#N/A")</f>
        <v>#N/A</v>
      </c>
    </row>
    <row r="580">
      <c r="A580" s="23"/>
      <c r="B580" s="23"/>
      <c r="C580" s="23"/>
      <c r="D580" s="23"/>
      <c r="E580" s="24" t="str">
        <f>IFERROR(__xludf.DUMMYFUNCTION("""COMPUTED_VALUE"""),"#N/A")</f>
        <v>#N/A</v>
      </c>
      <c r="F580" s="24" t="str">
        <f>IFERROR(__xludf.DUMMYFUNCTION("""COMPUTED_VALUE"""),"#N/A")</f>
        <v>#N/A</v>
      </c>
    </row>
    <row r="581">
      <c r="A581" s="23"/>
      <c r="B581" s="23"/>
      <c r="C581" s="23"/>
      <c r="D581" s="23"/>
      <c r="E581" s="24" t="str">
        <f>IFERROR(__xludf.DUMMYFUNCTION("""COMPUTED_VALUE"""),"#N/A")</f>
        <v>#N/A</v>
      </c>
      <c r="F581" s="24" t="str">
        <f>IFERROR(__xludf.DUMMYFUNCTION("""COMPUTED_VALUE"""),"#N/A")</f>
        <v>#N/A</v>
      </c>
    </row>
    <row r="582">
      <c r="A582" s="23"/>
      <c r="B582" s="23"/>
      <c r="C582" s="23"/>
      <c r="D582" s="23"/>
      <c r="E582" s="24" t="str">
        <f>IFERROR(__xludf.DUMMYFUNCTION("""COMPUTED_VALUE"""),"#N/A")</f>
        <v>#N/A</v>
      </c>
      <c r="F582" s="24" t="str">
        <f>IFERROR(__xludf.DUMMYFUNCTION("""COMPUTED_VALUE"""),"#N/A")</f>
        <v>#N/A</v>
      </c>
    </row>
    <row r="583">
      <c r="A583" s="23"/>
      <c r="B583" s="23"/>
      <c r="C583" s="23"/>
      <c r="D583" s="23"/>
      <c r="E583" s="24" t="str">
        <f>IFERROR(__xludf.DUMMYFUNCTION("""COMPUTED_VALUE"""),"#N/A")</f>
        <v>#N/A</v>
      </c>
      <c r="F583" s="24" t="str">
        <f>IFERROR(__xludf.DUMMYFUNCTION("""COMPUTED_VALUE"""),"#N/A")</f>
        <v>#N/A</v>
      </c>
    </row>
    <row r="584">
      <c r="A584" s="23"/>
      <c r="B584" s="23"/>
      <c r="C584" s="23"/>
      <c r="D584" s="23"/>
      <c r="E584" s="24" t="str">
        <f>IFERROR(__xludf.DUMMYFUNCTION("""COMPUTED_VALUE"""),"#N/A")</f>
        <v>#N/A</v>
      </c>
      <c r="F584" s="24" t="str">
        <f>IFERROR(__xludf.DUMMYFUNCTION("""COMPUTED_VALUE"""),"#N/A")</f>
        <v>#N/A</v>
      </c>
    </row>
    <row r="585">
      <c r="A585" s="23"/>
      <c r="B585" s="23"/>
      <c r="C585" s="23"/>
      <c r="D585" s="23"/>
      <c r="E585" s="24" t="str">
        <f>IFERROR(__xludf.DUMMYFUNCTION("""COMPUTED_VALUE"""),"#N/A")</f>
        <v>#N/A</v>
      </c>
      <c r="F585" s="24" t="str">
        <f>IFERROR(__xludf.DUMMYFUNCTION("""COMPUTED_VALUE"""),"#N/A")</f>
        <v>#N/A</v>
      </c>
    </row>
    <row r="586">
      <c r="A586" s="23"/>
      <c r="B586" s="23"/>
      <c r="C586" s="23"/>
      <c r="D586" s="23"/>
      <c r="E586" s="24" t="str">
        <f>IFERROR(__xludf.DUMMYFUNCTION("""COMPUTED_VALUE"""),"#N/A")</f>
        <v>#N/A</v>
      </c>
      <c r="F586" s="24" t="str">
        <f>IFERROR(__xludf.DUMMYFUNCTION("""COMPUTED_VALUE"""),"#N/A")</f>
        <v>#N/A</v>
      </c>
    </row>
    <row r="587">
      <c r="A587" s="23"/>
      <c r="B587" s="23"/>
      <c r="C587" s="23"/>
      <c r="D587" s="23"/>
      <c r="E587" s="24" t="str">
        <f>IFERROR(__xludf.DUMMYFUNCTION("""COMPUTED_VALUE"""),"#N/A")</f>
        <v>#N/A</v>
      </c>
      <c r="F587" s="24" t="str">
        <f>IFERROR(__xludf.DUMMYFUNCTION("""COMPUTED_VALUE"""),"#N/A")</f>
        <v>#N/A</v>
      </c>
    </row>
    <row r="588">
      <c r="A588" s="23"/>
      <c r="B588" s="23"/>
      <c r="C588" s="23"/>
      <c r="D588" s="23"/>
      <c r="E588" s="24" t="str">
        <f>IFERROR(__xludf.DUMMYFUNCTION("""COMPUTED_VALUE"""),"#N/A")</f>
        <v>#N/A</v>
      </c>
      <c r="F588" s="24" t="str">
        <f>IFERROR(__xludf.DUMMYFUNCTION("""COMPUTED_VALUE"""),"#N/A")</f>
        <v>#N/A</v>
      </c>
    </row>
    <row r="589">
      <c r="A589" s="23"/>
      <c r="B589" s="23"/>
      <c r="C589" s="23"/>
      <c r="D589" s="23"/>
      <c r="E589" s="24" t="str">
        <f>IFERROR(__xludf.DUMMYFUNCTION("""COMPUTED_VALUE"""),"#N/A")</f>
        <v>#N/A</v>
      </c>
      <c r="F589" s="24" t="str">
        <f>IFERROR(__xludf.DUMMYFUNCTION("""COMPUTED_VALUE"""),"#N/A")</f>
        <v>#N/A</v>
      </c>
    </row>
    <row r="590">
      <c r="A590" s="23"/>
      <c r="B590" s="23"/>
      <c r="C590" s="23"/>
      <c r="D590" s="23"/>
      <c r="E590" s="24" t="str">
        <f>IFERROR(__xludf.DUMMYFUNCTION("""COMPUTED_VALUE"""),"#N/A")</f>
        <v>#N/A</v>
      </c>
      <c r="F590" s="24" t="str">
        <f>IFERROR(__xludf.DUMMYFUNCTION("""COMPUTED_VALUE"""),"#N/A")</f>
        <v>#N/A</v>
      </c>
    </row>
    <row r="591">
      <c r="A591" s="23"/>
      <c r="B591" s="23"/>
      <c r="C591" s="23"/>
      <c r="D591" s="23"/>
      <c r="E591" s="24" t="str">
        <f>IFERROR(__xludf.DUMMYFUNCTION("""COMPUTED_VALUE"""),"#N/A")</f>
        <v>#N/A</v>
      </c>
      <c r="F591" s="24" t="str">
        <f>IFERROR(__xludf.DUMMYFUNCTION("""COMPUTED_VALUE"""),"#N/A")</f>
        <v>#N/A</v>
      </c>
    </row>
    <row r="592">
      <c r="A592" s="23"/>
      <c r="B592" s="23"/>
      <c r="C592" s="23"/>
      <c r="D592" s="23"/>
      <c r="E592" s="24" t="str">
        <f>IFERROR(__xludf.DUMMYFUNCTION("""COMPUTED_VALUE"""),"#N/A")</f>
        <v>#N/A</v>
      </c>
      <c r="F592" s="24" t="str">
        <f>IFERROR(__xludf.DUMMYFUNCTION("""COMPUTED_VALUE"""),"#N/A")</f>
        <v>#N/A</v>
      </c>
    </row>
    <row r="593">
      <c r="A593" s="23"/>
      <c r="B593" s="23"/>
      <c r="C593" s="23"/>
      <c r="D593" s="23"/>
      <c r="E593" s="24" t="str">
        <f>IFERROR(__xludf.DUMMYFUNCTION("""COMPUTED_VALUE"""),"#N/A")</f>
        <v>#N/A</v>
      </c>
      <c r="F593" s="24" t="str">
        <f>IFERROR(__xludf.DUMMYFUNCTION("""COMPUTED_VALUE"""),"#N/A")</f>
        <v>#N/A</v>
      </c>
    </row>
    <row r="594">
      <c r="A594" s="23"/>
      <c r="B594" s="23"/>
      <c r="C594" s="23"/>
      <c r="D594" s="23"/>
      <c r="E594" s="24" t="str">
        <f>IFERROR(__xludf.DUMMYFUNCTION("""COMPUTED_VALUE"""),"#N/A")</f>
        <v>#N/A</v>
      </c>
      <c r="F594" s="24" t="str">
        <f>IFERROR(__xludf.DUMMYFUNCTION("""COMPUTED_VALUE"""),"#N/A")</f>
        <v>#N/A</v>
      </c>
    </row>
    <row r="595">
      <c r="A595" s="23"/>
      <c r="B595" s="23"/>
      <c r="C595" s="23"/>
      <c r="D595" s="23"/>
      <c r="E595" s="24" t="str">
        <f>IFERROR(__xludf.DUMMYFUNCTION("""COMPUTED_VALUE"""),"#N/A")</f>
        <v>#N/A</v>
      </c>
      <c r="F595" s="24" t="str">
        <f>IFERROR(__xludf.DUMMYFUNCTION("""COMPUTED_VALUE"""),"#N/A")</f>
        <v>#N/A</v>
      </c>
    </row>
    <row r="596">
      <c r="A596" s="23"/>
      <c r="B596" s="23"/>
      <c r="C596" s="23"/>
      <c r="D596" s="23"/>
      <c r="E596" s="24" t="str">
        <f>IFERROR(__xludf.DUMMYFUNCTION("""COMPUTED_VALUE"""),"#N/A")</f>
        <v>#N/A</v>
      </c>
      <c r="F596" s="24" t="str">
        <f>IFERROR(__xludf.DUMMYFUNCTION("""COMPUTED_VALUE"""),"#N/A")</f>
        <v>#N/A</v>
      </c>
    </row>
    <row r="597">
      <c r="A597" s="23"/>
      <c r="B597" s="23"/>
      <c r="C597" s="23"/>
      <c r="D597" s="23"/>
      <c r="E597" s="24" t="str">
        <f>IFERROR(__xludf.DUMMYFUNCTION("""COMPUTED_VALUE"""),"#N/A")</f>
        <v>#N/A</v>
      </c>
      <c r="F597" s="24" t="str">
        <f>IFERROR(__xludf.DUMMYFUNCTION("""COMPUTED_VALUE"""),"#N/A")</f>
        <v>#N/A</v>
      </c>
    </row>
    <row r="598">
      <c r="A598" s="23"/>
      <c r="B598" s="23"/>
      <c r="C598" s="23"/>
      <c r="D598" s="23"/>
      <c r="E598" s="24" t="str">
        <f>IFERROR(__xludf.DUMMYFUNCTION("""COMPUTED_VALUE"""),"#N/A")</f>
        <v>#N/A</v>
      </c>
      <c r="F598" s="24" t="str">
        <f>IFERROR(__xludf.DUMMYFUNCTION("""COMPUTED_VALUE"""),"#N/A")</f>
        <v>#N/A</v>
      </c>
    </row>
    <row r="599">
      <c r="A599" s="23"/>
      <c r="B599" s="23"/>
      <c r="C599" s="23"/>
      <c r="D599" s="23"/>
      <c r="E599" s="24" t="str">
        <f>IFERROR(__xludf.DUMMYFUNCTION("""COMPUTED_VALUE"""),"#N/A")</f>
        <v>#N/A</v>
      </c>
      <c r="F599" s="24" t="str">
        <f>IFERROR(__xludf.DUMMYFUNCTION("""COMPUTED_VALUE"""),"#N/A")</f>
        <v>#N/A</v>
      </c>
    </row>
    <row r="600">
      <c r="A600" s="23"/>
      <c r="B600" s="23"/>
      <c r="C600" s="23"/>
      <c r="D600" s="23"/>
      <c r="E600" s="24" t="str">
        <f>IFERROR(__xludf.DUMMYFUNCTION("""COMPUTED_VALUE"""),"#N/A")</f>
        <v>#N/A</v>
      </c>
      <c r="F600" s="24" t="str">
        <f>IFERROR(__xludf.DUMMYFUNCTION("""COMPUTED_VALUE"""),"#N/A")</f>
        <v>#N/A</v>
      </c>
    </row>
    <row r="601">
      <c r="A601" s="23"/>
      <c r="B601" s="23"/>
      <c r="C601" s="23"/>
      <c r="D601" s="23"/>
      <c r="E601" s="24" t="str">
        <f>IFERROR(__xludf.DUMMYFUNCTION("""COMPUTED_VALUE"""),"#N/A")</f>
        <v>#N/A</v>
      </c>
      <c r="F601" s="24" t="str">
        <f>IFERROR(__xludf.DUMMYFUNCTION("""COMPUTED_VALUE"""),"#N/A")</f>
        <v>#N/A</v>
      </c>
    </row>
    <row r="602">
      <c r="A602" s="23"/>
      <c r="B602" s="23"/>
      <c r="C602" s="23"/>
      <c r="D602" s="23"/>
      <c r="E602" s="24" t="str">
        <f>IFERROR(__xludf.DUMMYFUNCTION("""COMPUTED_VALUE"""),"#N/A")</f>
        <v>#N/A</v>
      </c>
      <c r="F602" s="24" t="str">
        <f>IFERROR(__xludf.DUMMYFUNCTION("""COMPUTED_VALUE"""),"#N/A")</f>
        <v>#N/A</v>
      </c>
    </row>
    <row r="603">
      <c r="A603" s="23"/>
      <c r="B603" s="23"/>
      <c r="C603" s="23"/>
      <c r="D603" s="23"/>
      <c r="E603" s="24" t="str">
        <f>IFERROR(__xludf.DUMMYFUNCTION("""COMPUTED_VALUE"""),"#N/A")</f>
        <v>#N/A</v>
      </c>
      <c r="F603" s="24" t="str">
        <f>IFERROR(__xludf.DUMMYFUNCTION("""COMPUTED_VALUE"""),"#N/A")</f>
        <v>#N/A</v>
      </c>
    </row>
    <row r="604">
      <c r="A604" s="23"/>
      <c r="B604" s="23"/>
      <c r="C604" s="23"/>
      <c r="D604" s="23"/>
      <c r="E604" s="24" t="str">
        <f>IFERROR(__xludf.DUMMYFUNCTION("""COMPUTED_VALUE"""),"#N/A")</f>
        <v>#N/A</v>
      </c>
      <c r="F604" s="24" t="str">
        <f>IFERROR(__xludf.DUMMYFUNCTION("""COMPUTED_VALUE"""),"#N/A")</f>
        <v>#N/A</v>
      </c>
    </row>
    <row r="605">
      <c r="A605" s="23"/>
      <c r="B605" s="23"/>
      <c r="C605" s="23"/>
      <c r="D605" s="23"/>
      <c r="E605" s="24" t="str">
        <f>IFERROR(__xludf.DUMMYFUNCTION("""COMPUTED_VALUE"""),"#N/A")</f>
        <v>#N/A</v>
      </c>
      <c r="F605" s="24" t="str">
        <f>IFERROR(__xludf.DUMMYFUNCTION("""COMPUTED_VALUE"""),"#N/A")</f>
        <v>#N/A</v>
      </c>
    </row>
    <row r="606">
      <c r="A606" s="23"/>
      <c r="B606" s="23"/>
      <c r="C606" s="23"/>
      <c r="D606" s="23"/>
      <c r="E606" s="24" t="str">
        <f>IFERROR(__xludf.DUMMYFUNCTION("""COMPUTED_VALUE"""),"#N/A")</f>
        <v>#N/A</v>
      </c>
      <c r="F606" s="24" t="str">
        <f>IFERROR(__xludf.DUMMYFUNCTION("""COMPUTED_VALUE"""),"#N/A")</f>
        <v>#N/A</v>
      </c>
    </row>
    <row r="607">
      <c r="A607" s="23"/>
      <c r="B607" s="23"/>
      <c r="C607" s="23"/>
      <c r="D607" s="23"/>
      <c r="E607" s="24" t="str">
        <f>IFERROR(__xludf.DUMMYFUNCTION("""COMPUTED_VALUE"""),"#N/A")</f>
        <v>#N/A</v>
      </c>
      <c r="F607" s="24" t="str">
        <f>IFERROR(__xludf.DUMMYFUNCTION("""COMPUTED_VALUE"""),"#N/A")</f>
        <v>#N/A</v>
      </c>
    </row>
    <row r="608">
      <c r="A608" s="23"/>
      <c r="B608" s="23"/>
      <c r="C608" s="23"/>
      <c r="D608" s="23"/>
      <c r="E608" s="24" t="str">
        <f>IFERROR(__xludf.DUMMYFUNCTION("""COMPUTED_VALUE"""),"#N/A")</f>
        <v>#N/A</v>
      </c>
      <c r="F608" s="24" t="str">
        <f>IFERROR(__xludf.DUMMYFUNCTION("""COMPUTED_VALUE"""),"#N/A")</f>
        <v>#N/A</v>
      </c>
    </row>
    <row r="609">
      <c r="A609" s="23"/>
      <c r="B609" s="23"/>
      <c r="C609" s="23"/>
      <c r="D609" s="23"/>
      <c r="E609" s="24" t="str">
        <f>IFERROR(__xludf.DUMMYFUNCTION("""COMPUTED_VALUE"""),"#N/A")</f>
        <v>#N/A</v>
      </c>
      <c r="F609" s="24" t="str">
        <f>IFERROR(__xludf.DUMMYFUNCTION("""COMPUTED_VALUE"""),"#N/A")</f>
        <v>#N/A</v>
      </c>
    </row>
    <row r="610">
      <c r="A610" s="23"/>
      <c r="B610" s="23"/>
      <c r="C610" s="23"/>
      <c r="D610" s="23"/>
      <c r="E610" s="24" t="str">
        <f>IFERROR(__xludf.DUMMYFUNCTION("""COMPUTED_VALUE"""),"#N/A")</f>
        <v>#N/A</v>
      </c>
      <c r="F610" s="24" t="str">
        <f>IFERROR(__xludf.DUMMYFUNCTION("""COMPUTED_VALUE"""),"#N/A")</f>
        <v>#N/A</v>
      </c>
    </row>
    <row r="611">
      <c r="A611" s="23"/>
      <c r="B611" s="23"/>
      <c r="C611" s="23"/>
      <c r="D611" s="23"/>
      <c r="E611" s="24" t="str">
        <f>IFERROR(__xludf.DUMMYFUNCTION("""COMPUTED_VALUE"""),"#N/A")</f>
        <v>#N/A</v>
      </c>
      <c r="F611" s="24" t="str">
        <f>IFERROR(__xludf.DUMMYFUNCTION("""COMPUTED_VALUE"""),"#N/A")</f>
        <v>#N/A</v>
      </c>
    </row>
    <row r="612">
      <c r="A612" s="23"/>
      <c r="B612" s="23"/>
      <c r="C612" s="23"/>
      <c r="D612" s="23"/>
      <c r="E612" s="24" t="str">
        <f>IFERROR(__xludf.DUMMYFUNCTION("""COMPUTED_VALUE"""),"#N/A")</f>
        <v>#N/A</v>
      </c>
      <c r="F612" s="24" t="str">
        <f>IFERROR(__xludf.DUMMYFUNCTION("""COMPUTED_VALUE"""),"#N/A")</f>
        <v>#N/A</v>
      </c>
    </row>
    <row r="613">
      <c r="A613" s="23"/>
      <c r="B613" s="23"/>
      <c r="C613" s="23"/>
      <c r="D613" s="23"/>
      <c r="E613" s="24" t="str">
        <f>IFERROR(__xludf.DUMMYFUNCTION("""COMPUTED_VALUE"""),"#N/A")</f>
        <v>#N/A</v>
      </c>
      <c r="F613" s="24" t="str">
        <f>IFERROR(__xludf.DUMMYFUNCTION("""COMPUTED_VALUE"""),"#N/A")</f>
        <v>#N/A</v>
      </c>
    </row>
    <row r="614">
      <c r="A614" s="23"/>
      <c r="B614" s="23"/>
      <c r="C614" s="23"/>
      <c r="D614" s="23"/>
      <c r="E614" s="24" t="str">
        <f>IFERROR(__xludf.DUMMYFUNCTION("""COMPUTED_VALUE"""),"#N/A")</f>
        <v>#N/A</v>
      </c>
      <c r="F614" s="24" t="str">
        <f>IFERROR(__xludf.DUMMYFUNCTION("""COMPUTED_VALUE"""),"#N/A")</f>
        <v>#N/A</v>
      </c>
    </row>
    <row r="615">
      <c r="A615" s="23"/>
      <c r="B615" s="23"/>
      <c r="C615" s="23"/>
      <c r="D615" s="23"/>
      <c r="E615" s="24" t="str">
        <f>IFERROR(__xludf.DUMMYFUNCTION("""COMPUTED_VALUE"""),"#N/A")</f>
        <v>#N/A</v>
      </c>
      <c r="F615" s="24" t="str">
        <f>IFERROR(__xludf.DUMMYFUNCTION("""COMPUTED_VALUE"""),"#N/A")</f>
        <v>#N/A</v>
      </c>
    </row>
    <row r="616">
      <c r="A616" s="23"/>
      <c r="B616" s="23"/>
      <c r="C616" s="23"/>
      <c r="D616" s="23"/>
      <c r="E616" s="24" t="str">
        <f>IFERROR(__xludf.DUMMYFUNCTION("""COMPUTED_VALUE"""),"#N/A")</f>
        <v>#N/A</v>
      </c>
      <c r="F616" s="24" t="str">
        <f>IFERROR(__xludf.DUMMYFUNCTION("""COMPUTED_VALUE"""),"#N/A")</f>
        <v>#N/A</v>
      </c>
    </row>
    <row r="617">
      <c r="A617" s="23"/>
      <c r="B617" s="23"/>
      <c r="C617" s="23"/>
      <c r="D617" s="23"/>
      <c r="E617" s="24" t="str">
        <f>IFERROR(__xludf.DUMMYFUNCTION("""COMPUTED_VALUE"""),"#N/A")</f>
        <v>#N/A</v>
      </c>
      <c r="F617" s="24" t="str">
        <f>IFERROR(__xludf.DUMMYFUNCTION("""COMPUTED_VALUE"""),"#N/A")</f>
        <v>#N/A</v>
      </c>
    </row>
    <row r="618">
      <c r="A618" s="23"/>
      <c r="B618" s="23"/>
      <c r="C618" s="23"/>
      <c r="D618" s="23"/>
      <c r="E618" s="24" t="str">
        <f>IFERROR(__xludf.DUMMYFUNCTION("""COMPUTED_VALUE"""),"#N/A")</f>
        <v>#N/A</v>
      </c>
      <c r="F618" s="24" t="str">
        <f>IFERROR(__xludf.DUMMYFUNCTION("""COMPUTED_VALUE"""),"#N/A")</f>
        <v>#N/A</v>
      </c>
    </row>
    <row r="619">
      <c r="A619" s="23"/>
      <c r="B619" s="23"/>
      <c r="C619" s="23"/>
      <c r="D619" s="23"/>
      <c r="E619" s="24" t="str">
        <f>IFERROR(__xludf.DUMMYFUNCTION("""COMPUTED_VALUE"""),"#N/A")</f>
        <v>#N/A</v>
      </c>
      <c r="F619" s="24" t="str">
        <f>IFERROR(__xludf.DUMMYFUNCTION("""COMPUTED_VALUE"""),"#N/A")</f>
        <v>#N/A</v>
      </c>
    </row>
    <row r="620">
      <c r="A620" s="23"/>
      <c r="B620" s="23"/>
      <c r="C620" s="23"/>
      <c r="D620" s="23"/>
      <c r="E620" s="24" t="str">
        <f>IFERROR(__xludf.DUMMYFUNCTION("""COMPUTED_VALUE"""),"#N/A")</f>
        <v>#N/A</v>
      </c>
      <c r="F620" s="24" t="str">
        <f>IFERROR(__xludf.DUMMYFUNCTION("""COMPUTED_VALUE"""),"#N/A")</f>
        <v>#N/A</v>
      </c>
    </row>
    <row r="621">
      <c r="A621" s="23"/>
      <c r="B621" s="23"/>
      <c r="C621" s="23"/>
      <c r="D621" s="23"/>
      <c r="E621" s="24" t="str">
        <f>IFERROR(__xludf.DUMMYFUNCTION("""COMPUTED_VALUE"""),"#N/A")</f>
        <v>#N/A</v>
      </c>
      <c r="F621" s="24" t="str">
        <f>IFERROR(__xludf.DUMMYFUNCTION("""COMPUTED_VALUE"""),"#N/A")</f>
        <v>#N/A</v>
      </c>
    </row>
    <row r="622">
      <c r="A622" s="23"/>
      <c r="B622" s="23"/>
      <c r="C622" s="23"/>
      <c r="D622" s="23"/>
      <c r="E622" s="24" t="str">
        <f>IFERROR(__xludf.DUMMYFUNCTION("""COMPUTED_VALUE"""),"#N/A")</f>
        <v>#N/A</v>
      </c>
      <c r="F622" s="24" t="str">
        <f>IFERROR(__xludf.DUMMYFUNCTION("""COMPUTED_VALUE"""),"#N/A")</f>
        <v>#N/A</v>
      </c>
    </row>
    <row r="623">
      <c r="A623" s="23"/>
      <c r="B623" s="23"/>
      <c r="C623" s="23"/>
      <c r="D623" s="23"/>
      <c r="E623" s="24" t="str">
        <f>IFERROR(__xludf.DUMMYFUNCTION("""COMPUTED_VALUE"""),"#N/A")</f>
        <v>#N/A</v>
      </c>
      <c r="F623" s="24" t="str">
        <f>IFERROR(__xludf.DUMMYFUNCTION("""COMPUTED_VALUE"""),"#N/A")</f>
        <v>#N/A</v>
      </c>
    </row>
    <row r="624">
      <c r="A624" s="23"/>
      <c r="B624" s="23"/>
      <c r="C624" s="23"/>
      <c r="D624" s="23"/>
      <c r="E624" s="24" t="str">
        <f>IFERROR(__xludf.DUMMYFUNCTION("""COMPUTED_VALUE"""),"#N/A")</f>
        <v>#N/A</v>
      </c>
      <c r="F624" s="24" t="str">
        <f>IFERROR(__xludf.DUMMYFUNCTION("""COMPUTED_VALUE"""),"#N/A")</f>
        <v>#N/A</v>
      </c>
    </row>
    <row r="625">
      <c r="A625" s="23"/>
      <c r="B625" s="23"/>
      <c r="C625" s="23"/>
      <c r="D625" s="23"/>
      <c r="E625" s="24" t="str">
        <f>IFERROR(__xludf.DUMMYFUNCTION("""COMPUTED_VALUE"""),"#N/A")</f>
        <v>#N/A</v>
      </c>
      <c r="F625" s="24" t="str">
        <f>IFERROR(__xludf.DUMMYFUNCTION("""COMPUTED_VALUE"""),"#N/A")</f>
        <v>#N/A</v>
      </c>
    </row>
    <row r="626">
      <c r="A626" s="23"/>
      <c r="B626" s="23"/>
      <c r="C626" s="23"/>
      <c r="D626" s="23"/>
      <c r="E626" s="24" t="str">
        <f>IFERROR(__xludf.DUMMYFUNCTION("""COMPUTED_VALUE"""),"#N/A")</f>
        <v>#N/A</v>
      </c>
      <c r="F626" s="24" t="str">
        <f>IFERROR(__xludf.DUMMYFUNCTION("""COMPUTED_VALUE"""),"#N/A")</f>
        <v>#N/A</v>
      </c>
    </row>
    <row r="627">
      <c r="A627" s="23"/>
      <c r="B627" s="23"/>
      <c r="C627" s="23"/>
      <c r="D627" s="23"/>
      <c r="E627" s="24" t="str">
        <f>IFERROR(__xludf.DUMMYFUNCTION("""COMPUTED_VALUE"""),"#N/A")</f>
        <v>#N/A</v>
      </c>
      <c r="F627" s="24" t="str">
        <f>IFERROR(__xludf.DUMMYFUNCTION("""COMPUTED_VALUE"""),"#N/A")</f>
        <v>#N/A</v>
      </c>
    </row>
    <row r="628">
      <c r="A628" s="23"/>
      <c r="B628" s="23"/>
      <c r="C628" s="23"/>
      <c r="D628" s="23"/>
      <c r="E628" s="24" t="str">
        <f>IFERROR(__xludf.DUMMYFUNCTION("""COMPUTED_VALUE"""),"#N/A")</f>
        <v>#N/A</v>
      </c>
      <c r="F628" s="24" t="str">
        <f>IFERROR(__xludf.DUMMYFUNCTION("""COMPUTED_VALUE"""),"#N/A")</f>
        <v>#N/A</v>
      </c>
    </row>
    <row r="629">
      <c r="A629" s="23"/>
      <c r="B629" s="23"/>
      <c r="C629" s="23"/>
      <c r="D629" s="23"/>
      <c r="E629" s="24" t="str">
        <f>IFERROR(__xludf.DUMMYFUNCTION("""COMPUTED_VALUE"""),"#N/A")</f>
        <v>#N/A</v>
      </c>
      <c r="F629" s="24" t="str">
        <f>IFERROR(__xludf.DUMMYFUNCTION("""COMPUTED_VALUE"""),"#N/A")</f>
        <v>#N/A</v>
      </c>
    </row>
    <row r="630">
      <c r="A630" s="23"/>
      <c r="B630" s="23"/>
      <c r="C630" s="23"/>
      <c r="D630" s="23"/>
      <c r="E630" s="24" t="str">
        <f>IFERROR(__xludf.DUMMYFUNCTION("""COMPUTED_VALUE"""),"#N/A")</f>
        <v>#N/A</v>
      </c>
      <c r="F630" s="24" t="str">
        <f>IFERROR(__xludf.DUMMYFUNCTION("""COMPUTED_VALUE"""),"#N/A")</f>
        <v>#N/A</v>
      </c>
    </row>
    <row r="631">
      <c r="A631" s="23"/>
      <c r="B631" s="23"/>
      <c r="C631" s="23"/>
      <c r="D631" s="23"/>
      <c r="E631" s="24" t="str">
        <f>IFERROR(__xludf.DUMMYFUNCTION("""COMPUTED_VALUE"""),"#N/A")</f>
        <v>#N/A</v>
      </c>
      <c r="F631" s="24" t="str">
        <f>IFERROR(__xludf.DUMMYFUNCTION("""COMPUTED_VALUE"""),"#N/A")</f>
        <v>#N/A</v>
      </c>
    </row>
    <row r="632">
      <c r="A632" s="23"/>
      <c r="B632" s="23"/>
      <c r="C632" s="23"/>
      <c r="D632" s="23"/>
      <c r="E632" s="24" t="str">
        <f>IFERROR(__xludf.DUMMYFUNCTION("""COMPUTED_VALUE"""),"#N/A")</f>
        <v>#N/A</v>
      </c>
      <c r="F632" s="24" t="str">
        <f>IFERROR(__xludf.DUMMYFUNCTION("""COMPUTED_VALUE"""),"#N/A")</f>
        <v>#N/A</v>
      </c>
    </row>
    <row r="633">
      <c r="A633" s="23"/>
      <c r="B633" s="23"/>
      <c r="C633" s="23"/>
      <c r="D633" s="23"/>
      <c r="E633" s="24" t="str">
        <f>IFERROR(__xludf.DUMMYFUNCTION("""COMPUTED_VALUE"""),"#N/A")</f>
        <v>#N/A</v>
      </c>
      <c r="F633" s="24" t="str">
        <f>IFERROR(__xludf.DUMMYFUNCTION("""COMPUTED_VALUE"""),"#N/A")</f>
        <v>#N/A</v>
      </c>
    </row>
    <row r="634">
      <c r="A634" s="23"/>
      <c r="B634" s="23"/>
      <c r="C634" s="23"/>
      <c r="D634" s="23"/>
      <c r="E634" s="24" t="str">
        <f>IFERROR(__xludf.DUMMYFUNCTION("""COMPUTED_VALUE"""),"#N/A")</f>
        <v>#N/A</v>
      </c>
      <c r="F634" s="24" t="str">
        <f>IFERROR(__xludf.DUMMYFUNCTION("""COMPUTED_VALUE"""),"#N/A")</f>
        <v>#N/A</v>
      </c>
    </row>
    <row r="635">
      <c r="A635" s="23"/>
      <c r="B635" s="23"/>
      <c r="C635" s="23"/>
      <c r="D635" s="23"/>
      <c r="E635" s="24" t="str">
        <f>IFERROR(__xludf.DUMMYFUNCTION("""COMPUTED_VALUE"""),"#N/A")</f>
        <v>#N/A</v>
      </c>
      <c r="F635" s="24" t="str">
        <f>IFERROR(__xludf.DUMMYFUNCTION("""COMPUTED_VALUE"""),"#N/A")</f>
        <v>#N/A</v>
      </c>
    </row>
    <row r="636">
      <c r="A636" s="23"/>
      <c r="B636" s="23"/>
      <c r="C636" s="23"/>
      <c r="D636" s="23"/>
      <c r="E636" s="24" t="str">
        <f>IFERROR(__xludf.DUMMYFUNCTION("""COMPUTED_VALUE"""),"#N/A")</f>
        <v>#N/A</v>
      </c>
      <c r="F636" s="24" t="str">
        <f>IFERROR(__xludf.DUMMYFUNCTION("""COMPUTED_VALUE"""),"#N/A")</f>
        <v>#N/A</v>
      </c>
    </row>
    <row r="637">
      <c r="A637" s="23"/>
      <c r="B637" s="23"/>
      <c r="C637" s="23"/>
      <c r="D637" s="23"/>
      <c r="E637" s="24" t="str">
        <f>IFERROR(__xludf.DUMMYFUNCTION("""COMPUTED_VALUE"""),"#N/A")</f>
        <v>#N/A</v>
      </c>
      <c r="F637" s="24" t="str">
        <f>IFERROR(__xludf.DUMMYFUNCTION("""COMPUTED_VALUE"""),"#N/A")</f>
        <v>#N/A</v>
      </c>
    </row>
    <row r="638">
      <c r="A638" s="23"/>
      <c r="B638" s="23"/>
      <c r="C638" s="23"/>
      <c r="D638" s="23"/>
      <c r="E638" s="24" t="str">
        <f>IFERROR(__xludf.DUMMYFUNCTION("""COMPUTED_VALUE"""),"#N/A")</f>
        <v>#N/A</v>
      </c>
      <c r="F638" s="24" t="str">
        <f>IFERROR(__xludf.DUMMYFUNCTION("""COMPUTED_VALUE"""),"#N/A")</f>
        <v>#N/A</v>
      </c>
    </row>
    <row r="639">
      <c r="A639" s="23"/>
      <c r="B639" s="23"/>
      <c r="C639" s="23"/>
      <c r="D639" s="23"/>
      <c r="E639" s="24" t="str">
        <f>IFERROR(__xludf.DUMMYFUNCTION("""COMPUTED_VALUE"""),"#N/A")</f>
        <v>#N/A</v>
      </c>
      <c r="F639" s="24" t="str">
        <f>IFERROR(__xludf.DUMMYFUNCTION("""COMPUTED_VALUE"""),"#N/A")</f>
        <v>#N/A</v>
      </c>
    </row>
    <row r="640">
      <c r="A640" s="23"/>
      <c r="B640" s="23"/>
      <c r="C640" s="23"/>
      <c r="D640" s="23"/>
      <c r="E640" s="24" t="str">
        <f>IFERROR(__xludf.DUMMYFUNCTION("""COMPUTED_VALUE"""),"#N/A")</f>
        <v>#N/A</v>
      </c>
      <c r="F640" s="24" t="str">
        <f>IFERROR(__xludf.DUMMYFUNCTION("""COMPUTED_VALUE"""),"#N/A")</f>
        <v>#N/A</v>
      </c>
    </row>
    <row r="641">
      <c r="A641" s="23"/>
      <c r="B641" s="23"/>
      <c r="C641" s="23"/>
      <c r="D641" s="23"/>
      <c r="E641" s="24" t="str">
        <f>IFERROR(__xludf.DUMMYFUNCTION("""COMPUTED_VALUE"""),"#N/A")</f>
        <v>#N/A</v>
      </c>
      <c r="F641" s="24" t="str">
        <f>IFERROR(__xludf.DUMMYFUNCTION("""COMPUTED_VALUE"""),"#N/A")</f>
        <v>#N/A</v>
      </c>
    </row>
    <row r="642">
      <c r="A642" s="23"/>
      <c r="B642" s="23"/>
      <c r="C642" s="23"/>
      <c r="D642" s="23"/>
      <c r="E642" s="24" t="str">
        <f>IFERROR(__xludf.DUMMYFUNCTION("""COMPUTED_VALUE"""),"#N/A")</f>
        <v>#N/A</v>
      </c>
      <c r="F642" s="24" t="str">
        <f>IFERROR(__xludf.DUMMYFUNCTION("""COMPUTED_VALUE"""),"#N/A")</f>
        <v>#N/A</v>
      </c>
    </row>
    <row r="643">
      <c r="A643" s="23"/>
      <c r="B643" s="23"/>
      <c r="C643" s="23"/>
      <c r="D643" s="23"/>
      <c r="E643" s="24" t="str">
        <f>IFERROR(__xludf.DUMMYFUNCTION("""COMPUTED_VALUE"""),"#N/A")</f>
        <v>#N/A</v>
      </c>
      <c r="F643" s="24" t="str">
        <f>IFERROR(__xludf.DUMMYFUNCTION("""COMPUTED_VALUE"""),"#N/A")</f>
        <v>#N/A</v>
      </c>
    </row>
    <row r="644">
      <c r="A644" s="23"/>
      <c r="B644" s="23"/>
      <c r="C644" s="23"/>
      <c r="D644" s="23"/>
      <c r="E644" s="24" t="str">
        <f>IFERROR(__xludf.DUMMYFUNCTION("""COMPUTED_VALUE"""),"#N/A")</f>
        <v>#N/A</v>
      </c>
      <c r="F644" s="24" t="str">
        <f>IFERROR(__xludf.DUMMYFUNCTION("""COMPUTED_VALUE"""),"#N/A")</f>
        <v>#N/A</v>
      </c>
    </row>
    <row r="645">
      <c r="A645" s="23"/>
      <c r="B645" s="23"/>
      <c r="C645" s="23"/>
      <c r="D645" s="23"/>
      <c r="E645" s="24" t="str">
        <f>IFERROR(__xludf.DUMMYFUNCTION("""COMPUTED_VALUE"""),"#N/A")</f>
        <v>#N/A</v>
      </c>
      <c r="F645" s="24" t="str">
        <f>IFERROR(__xludf.DUMMYFUNCTION("""COMPUTED_VALUE"""),"#N/A")</f>
        <v>#N/A</v>
      </c>
    </row>
    <row r="646">
      <c r="A646" s="23"/>
      <c r="B646" s="23"/>
      <c r="C646" s="23"/>
      <c r="D646" s="23"/>
      <c r="E646" s="24" t="str">
        <f>IFERROR(__xludf.DUMMYFUNCTION("""COMPUTED_VALUE"""),"#N/A")</f>
        <v>#N/A</v>
      </c>
      <c r="F646" s="24" t="str">
        <f>IFERROR(__xludf.DUMMYFUNCTION("""COMPUTED_VALUE"""),"#N/A")</f>
        <v>#N/A</v>
      </c>
    </row>
    <row r="647">
      <c r="A647" s="23"/>
      <c r="B647" s="23"/>
      <c r="C647" s="23"/>
      <c r="D647" s="23"/>
      <c r="E647" s="24" t="str">
        <f>IFERROR(__xludf.DUMMYFUNCTION("""COMPUTED_VALUE"""),"#N/A")</f>
        <v>#N/A</v>
      </c>
      <c r="F647" s="24" t="str">
        <f>IFERROR(__xludf.DUMMYFUNCTION("""COMPUTED_VALUE"""),"#N/A")</f>
        <v>#N/A</v>
      </c>
    </row>
    <row r="648">
      <c r="A648" s="23"/>
      <c r="B648" s="23"/>
      <c r="C648" s="23"/>
      <c r="D648" s="23"/>
      <c r="E648" s="24" t="str">
        <f>IFERROR(__xludf.DUMMYFUNCTION("""COMPUTED_VALUE"""),"#N/A")</f>
        <v>#N/A</v>
      </c>
      <c r="F648" s="24" t="str">
        <f>IFERROR(__xludf.DUMMYFUNCTION("""COMPUTED_VALUE"""),"#N/A")</f>
        <v>#N/A</v>
      </c>
    </row>
    <row r="649">
      <c r="A649" s="23"/>
      <c r="B649" s="23"/>
      <c r="C649" s="23"/>
      <c r="D649" s="23"/>
      <c r="E649" s="24" t="str">
        <f>IFERROR(__xludf.DUMMYFUNCTION("""COMPUTED_VALUE"""),"#N/A")</f>
        <v>#N/A</v>
      </c>
      <c r="F649" s="24" t="str">
        <f>IFERROR(__xludf.DUMMYFUNCTION("""COMPUTED_VALUE"""),"#N/A")</f>
        <v>#N/A</v>
      </c>
    </row>
    <row r="650">
      <c r="A650" s="23"/>
      <c r="B650" s="23"/>
      <c r="C650" s="23"/>
      <c r="D650" s="23"/>
      <c r="E650" s="24" t="str">
        <f>IFERROR(__xludf.DUMMYFUNCTION("""COMPUTED_VALUE"""),"#N/A")</f>
        <v>#N/A</v>
      </c>
      <c r="F650" s="24" t="str">
        <f>IFERROR(__xludf.DUMMYFUNCTION("""COMPUTED_VALUE"""),"#N/A")</f>
        <v>#N/A</v>
      </c>
    </row>
    <row r="651">
      <c r="A651" s="23"/>
      <c r="B651" s="23"/>
      <c r="C651" s="23"/>
      <c r="D651" s="23"/>
      <c r="E651" s="24" t="str">
        <f>IFERROR(__xludf.DUMMYFUNCTION("""COMPUTED_VALUE"""),"#N/A")</f>
        <v>#N/A</v>
      </c>
      <c r="F651" s="24" t="str">
        <f>IFERROR(__xludf.DUMMYFUNCTION("""COMPUTED_VALUE"""),"#N/A")</f>
        <v>#N/A</v>
      </c>
    </row>
    <row r="652">
      <c r="A652" s="23"/>
      <c r="B652" s="23"/>
      <c r="C652" s="23"/>
      <c r="D652" s="23"/>
      <c r="E652" s="24" t="str">
        <f>IFERROR(__xludf.DUMMYFUNCTION("""COMPUTED_VALUE"""),"#N/A")</f>
        <v>#N/A</v>
      </c>
      <c r="F652" s="24" t="str">
        <f>IFERROR(__xludf.DUMMYFUNCTION("""COMPUTED_VALUE"""),"#N/A")</f>
        <v>#N/A</v>
      </c>
    </row>
    <row r="653">
      <c r="A653" s="23"/>
      <c r="B653" s="23"/>
      <c r="C653" s="23"/>
      <c r="D653" s="23"/>
      <c r="E653" s="24" t="str">
        <f>IFERROR(__xludf.DUMMYFUNCTION("""COMPUTED_VALUE"""),"#N/A")</f>
        <v>#N/A</v>
      </c>
      <c r="F653" s="24" t="str">
        <f>IFERROR(__xludf.DUMMYFUNCTION("""COMPUTED_VALUE"""),"#N/A")</f>
        <v>#N/A</v>
      </c>
    </row>
    <row r="654">
      <c r="A654" s="23"/>
      <c r="B654" s="23"/>
      <c r="C654" s="23"/>
      <c r="D654" s="23"/>
      <c r="E654" s="24" t="str">
        <f>IFERROR(__xludf.DUMMYFUNCTION("""COMPUTED_VALUE"""),"#N/A")</f>
        <v>#N/A</v>
      </c>
      <c r="F654" s="24" t="str">
        <f>IFERROR(__xludf.DUMMYFUNCTION("""COMPUTED_VALUE"""),"#N/A")</f>
        <v>#N/A</v>
      </c>
    </row>
    <row r="655">
      <c r="A655" s="23"/>
      <c r="B655" s="23"/>
      <c r="C655" s="23"/>
      <c r="D655" s="23"/>
      <c r="E655" s="24" t="str">
        <f>IFERROR(__xludf.DUMMYFUNCTION("""COMPUTED_VALUE"""),"#N/A")</f>
        <v>#N/A</v>
      </c>
      <c r="F655" s="24" t="str">
        <f>IFERROR(__xludf.DUMMYFUNCTION("""COMPUTED_VALUE"""),"#N/A")</f>
        <v>#N/A</v>
      </c>
    </row>
    <row r="656">
      <c r="A656" s="23"/>
      <c r="B656" s="23"/>
      <c r="C656" s="23"/>
      <c r="D656" s="23"/>
      <c r="E656" s="24" t="str">
        <f>IFERROR(__xludf.DUMMYFUNCTION("""COMPUTED_VALUE"""),"#N/A")</f>
        <v>#N/A</v>
      </c>
      <c r="F656" s="24" t="str">
        <f>IFERROR(__xludf.DUMMYFUNCTION("""COMPUTED_VALUE"""),"#N/A")</f>
        <v>#N/A</v>
      </c>
    </row>
    <row r="657">
      <c r="A657" s="23"/>
      <c r="B657" s="23"/>
      <c r="C657" s="23"/>
      <c r="D657" s="23"/>
      <c r="E657" s="24" t="str">
        <f>IFERROR(__xludf.DUMMYFUNCTION("""COMPUTED_VALUE"""),"#N/A")</f>
        <v>#N/A</v>
      </c>
      <c r="F657" s="24" t="str">
        <f>IFERROR(__xludf.DUMMYFUNCTION("""COMPUTED_VALUE"""),"#N/A")</f>
        <v>#N/A</v>
      </c>
    </row>
    <row r="658">
      <c r="A658" s="23"/>
      <c r="B658" s="23"/>
      <c r="C658" s="23"/>
      <c r="D658" s="23"/>
      <c r="E658" s="24" t="str">
        <f>IFERROR(__xludf.DUMMYFUNCTION("""COMPUTED_VALUE"""),"#N/A")</f>
        <v>#N/A</v>
      </c>
      <c r="F658" s="24" t="str">
        <f>IFERROR(__xludf.DUMMYFUNCTION("""COMPUTED_VALUE"""),"#N/A")</f>
        <v>#N/A</v>
      </c>
    </row>
    <row r="659">
      <c r="A659" s="23"/>
      <c r="B659" s="23"/>
      <c r="C659" s="23"/>
      <c r="D659" s="23"/>
      <c r="E659" s="24" t="str">
        <f>IFERROR(__xludf.DUMMYFUNCTION("""COMPUTED_VALUE"""),"#N/A")</f>
        <v>#N/A</v>
      </c>
      <c r="F659" s="24" t="str">
        <f>IFERROR(__xludf.DUMMYFUNCTION("""COMPUTED_VALUE"""),"#N/A")</f>
        <v>#N/A</v>
      </c>
    </row>
    <row r="660">
      <c r="A660" s="23"/>
      <c r="B660" s="23"/>
      <c r="C660" s="23"/>
      <c r="D660" s="23"/>
      <c r="E660" s="24" t="str">
        <f>IFERROR(__xludf.DUMMYFUNCTION("""COMPUTED_VALUE"""),"#N/A")</f>
        <v>#N/A</v>
      </c>
      <c r="F660" s="24" t="str">
        <f>IFERROR(__xludf.DUMMYFUNCTION("""COMPUTED_VALUE"""),"#N/A")</f>
        <v>#N/A</v>
      </c>
    </row>
    <row r="661">
      <c r="A661" s="23"/>
      <c r="B661" s="23"/>
      <c r="C661" s="23"/>
      <c r="D661" s="23"/>
      <c r="E661" s="24" t="str">
        <f>IFERROR(__xludf.DUMMYFUNCTION("""COMPUTED_VALUE"""),"#N/A")</f>
        <v>#N/A</v>
      </c>
      <c r="F661" s="24" t="str">
        <f>IFERROR(__xludf.DUMMYFUNCTION("""COMPUTED_VALUE"""),"#N/A")</f>
        <v>#N/A</v>
      </c>
    </row>
    <row r="662">
      <c r="A662" s="23"/>
      <c r="B662" s="23"/>
      <c r="C662" s="23"/>
      <c r="D662" s="23"/>
      <c r="E662" s="24" t="str">
        <f>IFERROR(__xludf.DUMMYFUNCTION("""COMPUTED_VALUE"""),"#N/A")</f>
        <v>#N/A</v>
      </c>
      <c r="F662" s="24" t="str">
        <f>IFERROR(__xludf.DUMMYFUNCTION("""COMPUTED_VALUE"""),"#N/A")</f>
        <v>#N/A</v>
      </c>
    </row>
    <row r="663">
      <c r="A663" s="23"/>
      <c r="B663" s="23"/>
      <c r="C663" s="23"/>
      <c r="D663" s="23"/>
      <c r="E663" s="24" t="str">
        <f>IFERROR(__xludf.DUMMYFUNCTION("""COMPUTED_VALUE"""),"#N/A")</f>
        <v>#N/A</v>
      </c>
      <c r="F663" s="24" t="str">
        <f>IFERROR(__xludf.DUMMYFUNCTION("""COMPUTED_VALUE"""),"#N/A")</f>
        <v>#N/A</v>
      </c>
    </row>
    <row r="664">
      <c r="A664" s="23"/>
      <c r="B664" s="23"/>
      <c r="C664" s="23"/>
      <c r="D664" s="23"/>
      <c r="E664" s="24" t="str">
        <f>IFERROR(__xludf.DUMMYFUNCTION("""COMPUTED_VALUE"""),"#N/A")</f>
        <v>#N/A</v>
      </c>
      <c r="F664" s="24" t="str">
        <f>IFERROR(__xludf.DUMMYFUNCTION("""COMPUTED_VALUE"""),"#N/A")</f>
        <v>#N/A</v>
      </c>
    </row>
    <row r="665">
      <c r="A665" s="23"/>
      <c r="B665" s="23"/>
      <c r="C665" s="23"/>
      <c r="D665" s="23"/>
      <c r="E665" s="24" t="str">
        <f>IFERROR(__xludf.DUMMYFUNCTION("""COMPUTED_VALUE"""),"#N/A")</f>
        <v>#N/A</v>
      </c>
      <c r="F665" s="24" t="str">
        <f>IFERROR(__xludf.DUMMYFUNCTION("""COMPUTED_VALUE"""),"#N/A")</f>
        <v>#N/A</v>
      </c>
    </row>
    <row r="666">
      <c r="A666" s="23"/>
      <c r="B666" s="23"/>
      <c r="C666" s="23"/>
      <c r="D666" s="23"/>
      <c r="E666" s="24" t="str">
        <f>IFERROR(__xludf.DUMMYFUNCTION("""COMPUTED_VALUE"""),"#N/A")</f>
        <v>#N/A</v>
      </c>
      <c r="F666" s="24" t="str">
        <f>IFERROR(__xludf.DUMMYFUNCTION("""COMPUTED_VALUE"""),"#N/A")</f>
        <v>#N/A</v>
      </c>
    </row>
    <row r="667">
      <c r="A667" s="23"/>
      <c r="B667" s="23"/>
      <c r="C667" s="23"/>
      <c r="D667" s="23"/>
      <c r="E667" s="24" t="str">
        <f>IFERROR(__xludf.DUMMYFUNCTION("""COMPUTED_VALUE"""),"#N/A")</f>
        <v>#N/A</v>
      </c>
      <c r="F667" s="24" t="str">
        <f>IFERROR(__xludf.DUMMYFUNCTION("""COMPUTED_VALUE"""),"#N/A")</f>
        <v>#N/A</v>
      </c>
    </row>
    <row r="668">
      <c r="A668" s="23"/>
      <c r="B668" s="23"/>
      <c r="C668" s="23"/>
      <c r="D668" s="23"/>
      <c r="E668" s="24" t="str">
        <f>IFERROR(__xludf.DUMMYFUNCTION("""COMPUTED_VALUE"""),"#N/A")</f>
        <v>#N/A</v>
      </c>
      <c r="F668" s="24" t="str">
        <f>IFERROR(__xludf.DUMMYFUNCTION("""COMPUTED_VALUE"""),"#N/A")</f>
        <v>#N/A</v>
      </c>
    </row>
    <row r="669">
      <c r="A669" s="23"/>
      <c r="B669" s="23"/>
      <c r="C669" s="23"/>
      <c r="D669" s="23"/>
      <c r="E669" s="24" t="str">
        <f>IFERROR(__xludf.DUMMYFUNCTION("""COMPUTED_VALUE"""),"#N/A")</f>
        <v>#N/A</v>
      </c>
      <c r="F669" s="24" t="str">
        <f>IFERROR(__xludf.DUMMYFUNCTION("""COMPUTED_VALUE"""),"#N/A")</f>
        <v>#N/A</v>
      </c>
    </row>
    <row r="670">
      <c r="A670" s="23"/>
      <c r="B670" s="23"/>
      <c r="C670" s="23"/>
      <c r="D670" s="23"/>
      <c r="E670" s="24" t="str">
        <f>IFERROR(__xludf.DUMMYFUNCTION("""COMPUTED_VALUE"""),"#N/A")</f>
        <v>#N/A</v>
      </c>
      <c r="F670" s="24" t="str">
        <f>IFERROR(__xludf.DUMMYFUNCTION("""COMPUTED_VALUE"""),"#N/A")</f>
        <v>#N/A</v>
      </c>
    </row>
    <row r="671">
      <c r="A671" s="23"/>
      <c r="B671" s="23"/>
      <c r="C671" s="23"/>
      <c r="D671" s="23"/>
      <c r="E671" s="24" t="str">
        <f>IFERROR(__xludf.DUMMYFUNCTION("""COMPUTED_VALUE"""),"#N/A")</f>
        <v>#N/A</v>
      </c>
      <c r="F671" s="24" t="str">
        <f>IFERROR(__xludf.DUMMYFUNCTION("""COMPUTED_VALUE"""),"#N/A")</f>
        <v>#N/A</v>
      </c>
    </row>
    <row r="672">
      <c r="A672" s="23"/>
      <c r="B672" s="23"/>
      <c r="C672" s="23"/>
      <c r="D672" s="23"/>
      <c r="E672" s="24" t="str">
        <f>IFERROR(__xludf.DUMMYFUNCTION("""COMPUTED_VALUE"""),"#N/A")</f>
        <v>#N/A</v>
      </c>
      <c r="F672" s="24" t="str">
        <f>IFERROR(__xludf.DUMMYFUNCTION("""COMPUTED_VALUE"""),"#N/A")</f>
        <v>#N/A</v>
      </c>
    </row>
    <row r="673">
      <c r="A673" s="23"/>
      <c r="B673" s="23"/>
      <c r="C673" s="23"/>
      <c r="D673" s="23"/>
      <c r="E673" s="24" t="str">
        <f>IFERROR(__xludf.DUMMYFUNCTION("""COMPUTED_VALUE"""),"#N/A")</f>
        <v>#N/A</v>
      </c>
      <c r="F673" s="24" t="str">
        <f>IFERROR(__xludf.DUMMYFUNCTION("""COMPUTED_VALUE"""),"#N/A")</f>
        <v>#N/A</v>
      </c>
    </row>
    <row r="674">
      <c r="A674" s="23"/>
      <c r="B674" s="23"/>
      <c r="C674" s="23"/>
      <c r="D674" s="23"/>
      <c r="E674" s="24" t="str">
        <f>IFERROR(__xludf.DUMMYFUNCTION("""COMPUTED_VALUE"""),"#N/A")</f>
        <v>#N/A</v>
      </c>
      <c r="F674" s="24" t="str">
        <f>IFERROR(__xludf.DUMMYFUNCTION("""COMPUTED_VALUE"""),"#N/A")</f>
        <v>#N/A</v>
      </c>
    </row>
    <row r="675">
      <c r="A675" s="23"/>
      <c r="B675" s="23"/>
      <c r="C675" s="23"/>
      <c r="D675" s="23"/>
      <c r="E675" s="24" t="str">
        <f>IFERROR(__xludf.DUMMYFUNCTION("""COMPUTED_VALUE"""),"#N/A")</f>
        <v>#N/A</v>
      </c>
      <c r="F675" s="24" t="str">
        <f>IFERROR(__xludf.DUMMYFUNCTION("""COMPUTED_VALUE"""),"#N/A")</f>
        <v>#N/A</v>
      </c>
    </row>
    <row r="676">
      <c r="A676" s="23"/>
      <c r="B676" s="23"/>
      <c r="C676" s="23"/>
      <c r="D676" s="23"/>
      <c r="E676" s="24" t="str">
        <f>IFERROR(__xludf.DUMMYFUNCTION("""COMPUTED_VALUE"""),"#N/A")</f>
        <v>#N/A</v>
      </c>
      <c r="F676" s="24" t="str">
        <f>IFERROR(__xludf.DUMMYFUNCTION("""COMPUTED_VALUE"""),"#N/A")</f>
        <v>#N/A</v>
      </c>
    </row>
    <row r="677">
      <c r="A677" s="23"/>
      <c r="B677" s="23"/>
      <c r="C677" s="23"/>
      <c r="D677" s="23"/>
      <c r="E677" s="24" t="str">
        <f>IFERROR(__xludf.DUMMYFUNCTION("""COMPUTED_VALUE"""),"#N/A")</f>
        <v>#N/A</v>
      </c>
      <c r="F677" s="24" t="str">
        <f>IFERROR(__xludf.DUMMYFUNCTION("""COMPUTED_VALUE"""),"#N/A")</f>
        <v>#N/A</v>
      </c>
    </row>
    <row r="678">
      <c r="A678" s="23"/>
      <c r="B678" s="23"/>
      <c r="C678" s="23"/>
      <c r="D678" s="23"/>
      <c r="E678" s="24" t="str">
        <f>IFERROR(__xludf.DUMMYFUNCTION("""COMPUTED_VALUE"""),"#N/A")</f>
        <v>#N/A</v>
      </c>
      <c r="F678" s="24" t="str">
        <f>IFERROR(__xludf.DUMMYFUNCTION("""COMPUTED_VALUE"""),"#N/A")</f>
        <v>#N/A</v>
      </c>
    </row>
    <row r="679">
      <c r="A679" s="23"/>
      <c r="B679" s="23"/>
      <c r="C679" s="23"/>
      <c r="D679" s="23"/>
      <c r="E679" s="24" t="str">
        <f>IFERROR(__xludf.DUMMYFUNCTION("""COMPUTED_VALUE"""),"#N/A")</f>
        <v>#N/A</v>
      </c>
      <c r="F679" s="24" t="str">
        <f>IFERROR(__xludf.DUMMYFUNCTION("""COMPUTED_VALUE"""),"#N/A")</f>
        <v>#N/A</v>
      </c>
    </row>
    <row r="680">
      <c r="A680" s="23"/>
      <c r="B680" s="23"/>
      <c r="C680" s="23"/>
      <c r="D680" s="23"/>
      <c r="E680" s="24" t="str">
        <f>IFERROR(__xludf.DUMMYFUNCTION("""COMPUTED_VALUE"""),"#N/A")</f>
        <v>#N/A</v>
      </c>
      <c r="F680" s="24" t="str">
        <f>IFERROR(__xludf.DUMMYFUNCTION("""COMPUTED_VALUE"""),"#N/A")</f>
        <v>#N/A</v>
      </c>
    </row>
    <row r="681">
      <c r="A681" s="23"/>
      <c r="B681" s="23"/>
      <c r="C681" s="23"/>
      <c r="D681" s="23"/>
      <c r="E681" s="24" t="str">
        <f>IFERROR(__xludf.DUMMYFUNCTION("""COMPUTED_VALUE"""),"#N/A")</f>
        <v>#N/A</v>
      </c>
      <c r="F681" s="24" t="str">
        <f>IFERROR(__xludf.DUMMYFUNCTION("""COMPUTED_VALUE"""),"#N/A")</f>
        <v>#N/A</v>
      </c>
    </row>
    <row r="682">
      <c r="A682" s="23"/>
      <c r="B682" s="23"/>
      <c r="C682" s="23"/>
      <c r="D682" s="23"/>
      <c r="E682" s="24" t="str">
        <f>IFERROR(__xludf.DUMMYFUNCTION("""COMPUTED_VALUE"""),"#N/A")</f>
        <v>#N/A</v>
      </c>
      <c r="F682" s="24" t="str">
        <f>IFERROR(__xludf.DUMMYFUNCTION("""COMPUTED_VALUE"""),"#N/A")</f>
        <v>#N/A</v>
      </c>
    </row>
    <row r="683">
      <c r="A683" s="23"/>
      <c r="B683" s="23"/>
      <c r="C683" s="23"/>
      <c r="D683" s="23"/>
      <c r="E683" s="24" t="str">
        <f>IFERROR(__xludf.DUMMYFUNCTION("""COMPUTED_VALUE"""),"#N/A")</f>
        <v>#N/A</v>
      </c>
      <c r="F683" s="24" t="str">
        <f>IFERROR(__xludf.DUMMYFUNCTION("""COMPUTED_VALUE"""),"#N/A")</f>
        <v>#N/A</v>
      </c>
    </row>
    <row r="684">
      <c r="A684" s="23"/>
      <c r="B684" s="23"/>
      <c r="C684" s="23"/>
      <c r="D684" s="23"/>
      <c r="E684" s="24" t="str">
        <f>IFERROR(__xludf.DUMMYFUNCTION("""COMPUTED_VALUE"""),"#N/A")</f>
        <v>#N/A</v>
      </c>
      <c r="F684" s="24" t="str">
        <f>IFERROR(__xludf.DUMMYFUNCTION("""COMPUTED_VALUE"""),"#N/A")</f>
        <v>#N/A</v>
      </c>
    </row>
    <row r="685">
      <c r="A685" s="23"/>
      <c r="B685" s="23"/>
      <c r="C685" s="23"/>
      <c r="D685" s="23"/>
      <c r="E685" s="24" t="str">
        <f>IFERROR(__xludf.DUMMYFUNCTION("""COMPUTED_VALUE"""),"#N/A")</f>
        <v>#N/A</v>
      </c>
      <c r="F685" s="24" t="str">
        <f>IFERROR(__xludf.DUMMYFUNCTION("""COMPUTED_VALUE"""),"#N/A")</f>
        <v>#N/A</v>
      </c>
    </row>
    <row r="686">
      <c r="A686" s="23"/>
      <c r="B686" s="23"/>
      <c r="C686" s="23"/>
      <c r="D686" s="23"/>
      <c r="E686" s="24" t="str">
        <f>IFERROR(__xludf.DUMMYFUNCTION("""COMPUTED_VALUE"""),"#N/A")</f>
        <v>#N/A</v>
      </c>
      <c r="F686" s="24" t="str">
        <f>IFERROR(__xludf.DUMMYFUNCTION("""COMPUTED_VALUE"""),"#N/A")</f>
        <v>#N/A</v>
      </c>
    </row>
    <row r="687">
      <c r="A687" s="23"/>
      <c r="B687" s="23"/>
      <c r="C687" s="23"/>
      <c r="D687" s="23"/>
      <c r="E687" s="24" t="str">
        <f>IFERROR(__xludf.DUMMYFUNCTION("""COMPUTED_VALUE"""),"#N/A")</f>
        <v>#N/A</v>
      </c>
      <c r="F687" s="24" t="str">
        <f>IFERROR(__xludf.DUMMYFUNCTION("""COMPUTED_VALUE"""),"#N/A")</f>
        <v>#N/A</v>
      </c>
    </row>
    <row r="688">
      <c r="A688" s="23"/>
      <c r="B688" s="23"/>
      <c r="C688" s="23"/>
      <c r="D688" s="23"/>
      <c r="E688" s="24" t="str">
        <f>IFERROR(__xludf.DUMMYFUNCTION("""COMPUTED_VALUE"""),"#N/A")</f>
        <v>#N/A</v>
      </c>
      <c r="F688" s="24" t="str">
        <f>IFERROR(__xludf.DUMMYFUNCTION("""COMPUTED_VALUE"""),"#N/A")</f>
        <v>#N/A</v>
      </c>
    </row>
    <row r="689">
      <c r="A689" s="23"/>
      <c r="B689" s="23"/>
      <c r="C689" s="23"/>
      <c r="D689" s="23"/>
      <c r="E689" s="24" t="str">
        <f>IFERROR(__xludf.DUMMYFUNCTION("""COMPUTED_VALUE"""),"#N/A")</f>
        <v>#N/A</v>
      </c>
      <c r="F689" s="24" t="str">
        <f>IFERROR(__xludf.DUMMYFUNCTION("""COMPUTED_VALUE"""),"#N/A")</f>
        <v>#N/A</v>
      </c>
    </row>
    <row r="690">
      <c r="A690" s="23"/>
      <c r="B690" s="23"/>
      <c r="C690" s="23"/>
      <c r="D690" s="23"/>
      <c r="E690" s="24" t="str">
        <f>IFERROR(__xludf.DUMMYFUNCTION("""COMPUTED_VALUE"""),"#N/A")</f>
        <v>#N/A</v>
      </c>
      <c r="F690" s="24" t="str">
        <f>IFERROR(__xludf.DUMMYFUNCTION("""COMPUTED_VALUE"""),"#N/A")</f>
        <v>#N/A</v>
      </c>
    </row>
    <row r="691">
      <c r="A691" s="23"/>
      <c r="B691" s="23"/>
      <c r="C691" s="23"/>
      <c r="D691" s="23"/>
      <c r="E691" s="24" t="str">
        <f>IFERROR(__xludf.DUMMYFUNCTION("""COMPUTED_VALUE"""),"#N/A")</f>
        <v>#N/A</v>
      </c>
      <c r="F691" s="24" t="str">
        <f>IFERROR(__xludf.DUMMYFUNCTION("""COMPUTED_VALUE"""),"#N/A")</f>
        <v>#N/A</v>
      </c>
    </row>
    <row r="692">
      <c r="A692" s="23"/>
      <c r="B692" s="23"/>
      <c r="C692" s="23"/>
      <c r="D692" s="23"/>
      <c r="E692" s="24" t="str">
        <f>IFERROR(__xludf.DUMMYFUNCTION("""COMPUTED_VALUE"""),"#N/A")</f>
        <v>#N/A</v>
      </c>
      <c r="F692" s="24" t="str">
        <f>IFERROR(__xludf.DUMMYFUNCTION("""COMPUTED_VALUE"""),"#N/A")</f>
        <v>#N/A</v>
      </c>
    </row>
    <row r="693">
      <c r="A693" s="23"/>
      <c r="B693" s="23"/>
      <c r="C693" s="23"/>
      <c r="D693" s="23"/>
      <c r="E693" s="24" t="str">
        <f>IFERROR(__xludf.DUMMYFUNCTION("""COMPUTED_VALUE"""),"#N/A")</f>
        <v>#N/A</v>
      </c>
      <c r="F693" s="24" t="str">
        <f>IFERROR(__xludf.DUMMYFUNCTION("""COMPUTED_VALUE"""),"#N/A")</f>
        <v>#N/A</v>
      </c>
    </row>
    <row r="694">
      <c r="A694" s="23"/>
      <c r="B694" s="23"/>
      <c r="C694" s="23"/>
      <c r="D694" s="23"/>
      <c r="E694" s="24" t="str">
        <f>IFERROR(__xludf.DUMMYFUNCTION("""COMPUTED_VALUE"""),"#N/A")</f>
        <v>#N/A</v>
      </c>
      <c r="F694" s="24" t="str">
        <f>IFERROR(__xludf.DUMMYFUNCTION("""COMPUTED_VALUE"""),"#N/A")</f>
        <v>#N/A</v>
      </c>
    </row>
    <row r="695">
      <c r="A695" s="23"/>
      <c r="B695" s="23"/>
      <c r="C695" s="23"/>
      <c r="D695" s="23"/>
      <c r="E695" s="24" t="str">
        <f>IFERROR(__xludf.DUMMYFUNCTION("""COMPUTED_VALUE"""),"#N/A")</f>
        <v>#N/A</v>
      </c>
      <c r="F695" s="24" t="str">
        <f>IFERROR(__xludf.DUMMYFUNCTION("""COMPUTED_VALUE"""),"#N/A")</f>
        <v>#N/A</v>
      </c>
    </row>
    <row r="696">
      <c r="A696" s="23"/>
      <c r="B696" s="23"/>
      <c r="C696" s="23"/>
      <c r="D696" s="23"/>
      <c r="E696" s="24" t="str">
        <f>IFERROR(__xludf.DUMMYFUNCTION("""COMPUTED_VALUE"""),"#N/A")</f>
        <v>#N/A</v>
      </c>
      <c r="F696" s="24" t="str">
        <f>IFERROR(__xludf.DUMMYFUNCTION("""COMPUTED_VALUE"""),"#N/A")</f>
        <v>#N/A</v>
      </c>
    </row>
    <row r="697">
      <c r="A697" s="23"/>
      <c r="B697" s="23"/>
      <c r="C697" s="23"/>
      <c r="D697" s="23"/>
      <c r="E697" s="24" t="str">
        <f>IFERROR(__xludf.DUMMYFUNCTION("""COMPUTED_VALUE"""),"#N/A")</f>
        <v>#N/A</v>
      </c>
      <c r="F697" s="24" t="str">
        <f>IFERROR(__xludf.DUMMYFUNCTION("""COMPUTED_VALUE"""),"#N/A")</f>
        <v>#N/A</v>
      </c>
    </row>
    <row r="698">
      <c r="A698" s="23"/>
      <c r="B698" s="23"/>
      <c r="C698" s="23"/>
      <c r="D698" s="23"/>
      <c r="E698" s="24" t="str">
        <f>IFERROR(__xludf.DUMMYFUNCTION("""COMPUTED_VALUE"""),"#N/A")</f>
        <v>#N/A</v>
      </c>
      <c r="F698" s="24" t="str">
        <f>IFERROR(__xludf.DUMMYFUNCTION("""COMPUTED_VALUE"""),"#N/A")</f>
        <v>#N/A</v>
      </c>
    </row>
    <row r="699">
      <c r="A699" s="23"/>
      <c r="B699" s="23"/>
      <c r="C699" s="23"/>
      <c r="D699" s="23"/>
      <c r="E699" s="24" t="str">
        <f>IFERROR(__xludf.DUMMYFUNCTION("""COMPUTED_VALUE"""),"#N/A")</f>
        <v>#N/A</v>
      </c>
      <c r="F699" s="24" t="str">
        <f>IFERROR(__xludf.DUMMYFUNCTION("""COMPUTED_VALUE"""),"#N/A")</f>
        <v>#N/A</v>
      </c>
    </row>
    <row r="700">
      <c r="A700" s="23"/>
      <c r="B700" s="23"/>
      <c r="C700" s="23"/>
      <c r="D700" s="23"/>
      <c r="E700" s="24" t="str">
        <f>IFERROR(__xludf.DUMMYFUNCTION("""COMPUTED_VALUE"""),"#N/A")</f>
        <v>#N/A</v>
      </c>
      <c r="F700" s="24" t="str">
        <f>IFERROR(__xludf.DUMMYFUNCTION("""COMPUTED_VALUE"""),"#N/A")</f>
        <v>#N/A</v>
      </c>
    </row>
    <row r="701">
      <c r="A701" s="23"/>
      <c r="B701" s="23"/>
      <c r="C701" s="23"/>
      <c r="D701" s="23"/>
      <c r="E701" s="24" t="str">
        <f>IFERROR(__xludf.DUMMYFUNCTION("""COMPUTED_VALUE"""),"#N/A")</f>
        <v>#N/A</v>
      </c>
      <c r="F701" s="24" t="str">
        <f>IFERROR(__xludf.DUMMYFUNCTION("""COMPUTED_VALUE"""),"#N/A")</f>
        <v>#N/A</v>
      </c>
    </row>
    <row r="702">
      <c r="A702" s="23"/>
      <c r="B702" s="23"/>
      <c r="C702" s="23"/>
      <c r="D702" s="23"/>
      <c r="E702" s="24" t="str">
        <f>IFERROR(__xludf.DUMMYFUNCTION("""COMPUTED_VALUE"""),"#N/A")</f>
        <v>#N/A</v>
      </c>
      <c r="F702" s="24" t="str">
        <f>IFERROR(__xludf.DUMMYFUNCTION("""COMPUTED_VALUE"""),"#N/A")</f>
        <v>#N/A</v>
      </c>
    </row>
    <row r="703">
      <c r="A703" s="23"/>
      <c r="B703" s="23"/>
      <c r="C703" s="23"/>
      <c r="D703" s="23"/>
      <c r="E703" s="24" t="str">
        <f>IFERROR(__xludf.DUMMYFUNCTION("""COMPUTED_VALUE"""),"#N/A")</f>
        <v>#N/A</v>
      </c>
      <c r="F703" s="24" t="str">
        <f>IFERROR(__xludf.DUMMYFUNCTION("""COMPUTED_VALUE"""),"#N/A")</f>
        <v>#N/A</v>
      </c>
    </row>
    <row r="704">
      <c r="A704" s="23"/>
      <c r="B704" s="23"/>
      <c r="C704" s="23"/>
      <c r="D704" s="23"/>
      <c r="E704" s="24" t="str">
        <f>IFERROR(__xludf.DUMMYFUNCTION("""COMPUTED_VALUE"""),"#N/A")</f>
        <v>#N/A</v>
      </c>
      <c r="F704" s="24" t="str">
        <f>IFERROR(__xludf.DUMMYFUNCTION("""COMPUTED_VALUE"""),"#N/A")</f>
        <v>#N/A</v>
      </c>
    </row>
    <row r="705">
      <c r="A705" s="23"/>
      <c r="B705" s="23"/>
      <c r="C705" s="23"/>
      <c r="D705" s="23"/>
      <c r="E705" s="24" t="str">
        <f>IFERROR(__xludf.DUMMYFUNCTION("""COMPUTED_VALUE"""),"#N/A")</f>
        <v>#N/A</v>
      </c>
      <c r="F705" s="24" t="str">
        <f>IFERROR(__xludf.DUMMYFUNCTION("""COMPUTED_VALUE"""),"#N/A")</f>
        <v>#N/A</v>
      </c>
    </row>
    <row r="706">
      <c r="A706" s="23"/>
      <c r="B706" s="23"/>
      <c r="C706" s="23"/>
      <c r="D706" s="23"/>
      <c r="E706" s="24" t="str">
        <f>IFERROR(__xludf.DUMMYFUNCTION("""COMPUTED_VALUE"""),"#N/A")</f>
        <v>#N/A</v>
      </c>
      <c r="F706" s="24" t="str">
        <f>IFERROR(__xludf.DUMMYFUNCTION("""COMPUTED_VALUE"""),"#N/A")</f>
        <v>#N/A</v>
      </c>
    </row>
    <row r="707">
      <c r="A707" s="23"/>
      <c r="B707" s="23"/>
      <c r="C707" s="23"/>
      <c r="D707" s="23"/>
      <c r="E707" s="24" t="str">
        <f>IFERROR(__xludf.DUMMYFUNCTION("""COMPUTED_VALUE"""),"#N/A")</f>
        <v>#N/A</v>
      </c>
      <c r="F707" s="24" t="str">
        <f>IFERROR(__xludf.DUMMYFUNCTION("""COMPUTED_VALUE"""),"#N/A")</f>
        <v>#N/A</v>
      </c>
    </row>
    <row r="708">
      <c r="A708" s="23"/>
      <c r="B708" s="23"/>
      <c r="C708" s="23"/>
      <c r="D708" s="23"/>
      <c r="E708" s="24" t="str">
        <f>IFERROR(__xludf.DUMMYFUNCTION("""COMPUTED_VALUE"""),"#N/A")</f>
        <v>#N/A</v>
      </c>
      <c r="F708" s="24" t="str">
        <f>IFERROR(__xludf.DUMMYFUNCTION("""COMPUTED_VALUE"""),"#N/A")</f>
        <v>#N/A</v>
      </c>
    </row>
    <row r="709">
      <c r="A709" s="23"/>
      <c r="B709" s="23"/>
      <c r="C709" s="23"/>
      <c r="D709" s="23"/>
      <c r="E709" s="24" t="str">
        <f>IFERROR(__xludf.DUMMYFUNCTION("""COMPUTED_VALUE"""),"#N/A")</f>
        <v>#N/A</v>
      </c>
      <c r="F709" s="24" t="str">
        <f>IFERROR(__xludf.DUMMYFUNCTION("""COMPUTED_VALUE"""),"#N/A")</f>
        <v>#N/A</v>
      </c>
    </row>
    <row r="710">
      <c r="A710" s="23"/>
      <c r="B710" s="23"/>
      <c r="C710" s="23"/>
      <c r="D710" s="23"/>
      <c r="E710" s="24" t="str">
        <f>IFERROR(__xludf.DUMMYFUNCTION("""COMPUTED_VALUE"""),"#N/A")</f>
        <v>#N/A</v>
      </c>
      <c r="F710" s="24" t="str">
        <f>IFERROR(__xludf.DUMMYFUNCTION("""COMPUTED_VALUE"""),"#N/A")</f>
        <v>#N/A</v>
      </c>
    </row>
    <row r="711">
      <c r="A711" s="23"/>
      <c r="B711" s="23"/>
      <c r="C711" s="23"/>
      <c r="D711" s="23"/>
      <c r="E711" s="24" t="str">
        <f>IFERROR(__xludf.DUMMYFUNCTION("""COMPUTED_VALUE"""),"#N/A")</f>
        <v>#N/A</v>
      </c>
      <c r="F711" s="24" t="str">
        <f>IFERROR(__xludf.DUMMYFUNCTION("""COMPUTED_VALUE"""),"#N/A")</f>
        <v>#N/A</v>
      </c>
    </row>
    <row r="712">
      <c r="A712" s="23"/>
      <c r="B712" s="23"/>
      <c r="C712" s="23"/>
      <c r="D712" s="23"/>
      <c r="E712" s="24" t="str">
        <f>IFERROR(__xludf.DUMMYFUNCTION("""COMPUTED_VALUE"""),"#N/A")</f>
        <v>#N/A</v>
      </c>
      <c r="F712" s="24" t="str">
        <f>IFERROR(__xludf.DUMMYFUNCTION("""COMPUTED_VALUE"""),"#N/A")</f>
        <v>#N/A</v>
      </c>
    </row>
    <row r="713">
      <c r="A713" s="23"/>
      <c r="B713" s="23"/>
      <c r="C713" s="23"/>
      <c r="D713" s="23"/>
      <c r="E713" s="24" t="str">
        <f>IFERROR(__xludf.DUMMYFUNCTION("""COMPUTED_VALUE"""),"#N/A")</f>
        <v>#N/A</v>
      </c>
      <c r="F713" s="24" t="str">
        <f>IFERROR(__xludf.DUMMYFUNCTION("""COMPUTED_VALUE"""),"#N/A")</f>
        <v>#N/A</v>
      </c>
    </row>
    <row r="714">
      <c r="A714" s="23"/>
      <c r="B714" s="23"/>
      <c r="C714" s="23"/>
      <c r="D714" s="23"/>
      <c r="E714" s="24" t="str">
        <f>IFERROR(__xludf.DUMMYFUNCTION("""COMPUTED_VALUE"""),"#N/A")</f>
        <v>#N/A</v>
      </c>
      <c r="F714" s="24" t="str">
        <f>IFERROR(__xludf.DUMMYFUNCTION("""COMPUTED_VALUE"""),"#N/A")</f>
        <v>#N/A</v>
      </c>
    </row>
    <row r="715">
      <c r="A715" s="23"/>
      <c r="B715" s="23"/>
      <c r="C715" s="23"/>
      <c r="D715" s="23"/>
      <c r="E715" s="24" t="str">
        <f>IFERROR(__xludf.DUMMYFUNCTION("""COMPUTED_VALUE"""),"#N/A")</f>
        <v>#N/A</v>
      </c>
      <c r="F715" s="24" t="str">
        <f>IFERROR(__xludf.DUMMYFUNCTION("""COMPUTED_VALUE"""),"#N/A")</f>
        <v>#N/A</v>
      </c>
    </row>
    <row r="716">
      <c r="A716" s="23"/>
      <c r="B716" s="23"/>
      <c r="C716" s="23"/>
      <c r="D716" s="23"/>
      <c r="E716" s="24" t="str">
        <f>IFERROR(__xludf.DUMMYFUNCTION("""COMPUTED_VALUE"""),"#N/A")</f>
        <v>#N/A</v>
      </c>
      <c r="F716" s="24" t="str">
        <f>IFERROR(__xludf.DUMMYFUNCTION("""COMPUTED_VALUE"""),"#N/A")</f>
        <v>#N/A</v>
      </c>
    </row>
    <row r="717">
      <c r="A717" s="23"/>
      <c r="B717" s="23"/>
      <c r="C717" s="23"/>
      <c r="D717" s="23"/>
      <c r="E717" s="24" t="str">
        <f>IFERROR(__xludf.DUMMYFUNCTION("""COMPUTED_VALUE"""),"#N/A")</f>
        <v>#N/A</v>
      </c>
      <c r="F717" s="24" t="str">
        <f>IFERROR(__xludf.DUMMYFUNCTION("""COMPUTED_VALUE"""),"#N/A")</f>
        <v>#N/A</v>
      </c>
    </row>
    <row r="718">
      <c r="A718" s="23"/>
      <c r="B718" s="23"/>
      <c r="C718" s="23"/>
      <c r="D718" s="23"/>
      <c r="E718" s="24" t="str">
        <f>IFERROR(__xludf.DUMMYFUNCTION("""COMPUTED_VALUE"""),"#N/A")</f>
        <v>#N/A</v>
      </c>
      <c r="F718" s="24" t="str">
        <f>IFERROR(__xludf.DUMMYFUNCTION("""COMPUTED_VALUE"""),"#N/A")</f>
        <v>#N/A</v>
      </c>
    </row>
    <row r="719">
      <c r="A719" s="23"/>
      <c r="B719" s="23"/>
      <c r="C719" s="23"/>
      <c r="D719" s="23"/>
      <c r="E719" s="24" t="str">
        <f>IFERROR(__xludf.DUMMYFUNCTION("""COMPUTED_VALUE"""),"#N/A")</f>
        <v>#N/A</v>
      </c>
      <c r="F719" s="24" t="str">
        <f>IFERROR(__xludf.DUMMYFUNCTION("""COMPUTED_VALUE"""),"#N/A")</f>
        <v>#N/A</v>
      </c>
    </row>
    <row r="720">
      <c r="A720" s="23"/>
      <c r="B720" s="23"/>
      <c r="C720" s="23"/>
      <c r="D720" s="23"/>
      <c r="E720" s="24" t="str">
        <f>IFERROR(__xludf.DUMMYFUNCTION("""COMPUTED_VALUE"""),"#N/A")</f>
        <v>#N/A</v>
      </c>
      <c r="F720" s="24" t="str">
        <f>IFERROR(__xludf.DUMMYFUNCTION("""COMPUTED_VALUE"""),"#N/A")</f>
        <v>#N/A</v>
      </c>
    </row>
    <row r="721">
      <c r="A721" s="23"/>
      <c r="B721" s="23"/>
      <c r="C721" s="23"/>
      <c r="D721" s="23"/>
      <c r="E721" s="24" t="str">
        <f>IFERROR(__xludf.DUMMYFUNCTION("""COMPUTED_VALUE"""),"#N/A")</f>
        <v>#N/A</v>
      </c>
      <c r="F721" s="24" t="str">
        <f>IFERROR(__xludf.DUMMYFUNCTION("""COMPUTED_VALUE"""),"#N/A")</f>
        <v>#N/A</v>
      </c>
    </row>
    <row r="722">
      <c r="A722" s="23"/>
      <c r="B722" s="23"/>
      <c r="C722" s="23"/>
      <c r="D722" s="23"/>
      <c r="E722" s="24" t="str">
        <f>IFERROR(__xludf.DUMMYFUNCTION("""COMPUTED_VALUE"""),"#N/A")</f>
        <v>#N/A</v>
      </c>
      <c r="F722" s="24" t="str">
        <f>IFERROR(__xludf.DUMMYFUNCTION("""COMPUTED_VALUE"""),"#N/A")</f>
        <v>#N/A</v>
      </c>
    </row>
    <row r="723">
      <c r="A723" s="23"/>
      <c r="B723" s="23"/>
      <c r="C723" s="23"/>
      <c r="D723" s="23"/>
      <c r="E723" s="24" t="str">
        <f>IFERROR(__xludf.DUMMYFUNCTION("""COMPUTED_VALUE"""),"#N/A")</f>
        <v>#N/A</v>
      </c>
      <c r="F723" s="24" t="str">
        <f>IFERROR(__xludf.DUMMYFUNCTION("""COMPUTED_VALUE"""),"#N/A")</f>
        <v>#N/A</v>
      </c>
    </row>
    <row r="724">
      <c r="A724" s="23"/>
      <c r="B724" s="23"/>
      <c r="C724" s="23"/>
      <c r="D724" s="23"/>
      <c r="E724" s="24" t="str">
        <f>IFERROR(__xludf.DUMMYFUNCTION("""COMPUTED_VALUE"""),"#N/A")</f>
        <v>#N/A</v>
      </c>
      <c r="F724" s="24" t="str">
        <f>IFERROR(__xludf.DUMMYFUNCTION("""COMPUTED_VALUE"""),"#N/A")</f>
        <v>#N/A</v>
      </c>
    </row>
    <row r="725">
      <c r="A725" s="23"/>
      <c r="B725" s="23"/>
      <c r="C725" s="23"/>
      <c r="D725" s="23"/>
      <c r="E725" s="24" t="str">
        <f>IFERROR(__xludf.DUMMYFUNCTION("""COMPUTED_VALUE"""),"#N/A")</f>
        <v>#N/A</v>
      </c>
      <c r="F725" s="24" t="str">
        <f>IFERROR(__xludf.DUMMYFUNCTION("""COMPUTED_VALUE"""),"#N/A")</f>
        <v>#N/A</v>
      </c>
    </row>
    <row r="726">
      <c r="A726" s="23"/>
      <c r="B726" s="23"/>
      <c r="C726" s="23"/>
      <c r="D726" s="23"/>
      <c r="E726" s="24" t="str">
        <f>IFERROR(__xludf.DUMMYFUNCTION("""COMPUTED_VALUE"""),"#N/A")</f>
        <v>#N/A</v>
      </c>
      <c r="F726" s="24" t="str">
        <f>IFERROR(__xludf.DUMMYFUNCTION("""COMPUTED_VALUE"""),"#N/A")</f>
        <v>#N/A</v>
      </c>
    </row>
    <row r="727">
      <c r="A727" s="23"/>
      <c r="B727" s="23"/>
      <c r="C727" s="23"/>
      <c r="D727" s="23"/>
      <c r="E727" s="24" t="str">
        <f>IFERROR(__xludf.DUMMYFUNCTION("""COMPUTED_VALUE"""),"#N/A")</f>
        <v>#N/A</v>
      </c>
      <c r="F727" s="24" t="str">
        <f>IFERROR(__xludf.DUMMYFUNCTION("""COMPUTED_VALUE"""),"#N/A")</f>
        <v>#N/A</v>
      </c>
    </row>
    <row r="728">
      <c r="A728" s="23"/>
      <c r="B728" s="23"/>
      <c r="C728" s="23"/>
      <c r="D728" s="23"/>
      <c r="E728" s="24" t="str">
        <f>IFERROR(__xludf.DUMMYFUNCTION("""COMPUTED_VALUE"""),"#N/A")</f>
        <v>#N/A</v>
      </c>
      <c r="F728" s="24" t="str">
        <f>IFERROR(__xludf.DUMMYFUNCTION("""COMPUTED_VALUE"""),"#N/A")</f>
        <v>#N/A</v>
      </c>
    </row>
    <row r="729">
      <c r="A729" s="23"/>
      <c r="B729" s="23"/>
      <c r="C729" s="23"/>
      <c r="D729" s="23"/>
      <c r="E729" s="24" t="str">
        <f>IFERROR(__xludf.DUMMYFUNCTION("""COMPUTED_VALUE"""),"#N/A")</f>
        <v>#N/A</v>
      </c>
      <c r="F729" s="24" t="str">
        <f>IFERROR(__xludf.DUMMYFUNCTION("""COMPUTED_VALUE"""),"#N/A")</f>
        <v>#N/A</v>
      </c>
    </row>
    <row r="730">
      <c r="A730" s="23"/>
      <c r="B730" s="23"/>
      <c r="C730" s="23"/>
      <c r="D730" s="23"/>
      <c r="E730" s="24" t="str">
        <f>IFERROR(__xludf.DUMMYFUNCTION("""COMPUTED_VALUE"""),"#N/A")</f>
        <v>#N/A</v>
      </c>
      <c r="F730" s="24" t="str">
        <f>IFERROR(__xludf.DUMMYFUNCTION("""COMPUTED_VALUE"""),"#N/A")</f>
        <v>#N/A</v>
      </c>
    </row>
    <row r="731">
      <c r="A731" s="23"/>
      <c r="B731" s="23"/>
      <c r="C731" s="23"/>
      <c r="D731" s="23"/>
      <c r="E731" s="24" t="str">
        <f>IFERROR(__xludf.DUMMYFUNCTION("""COMPUTED_VALUE"""),"#N/A")</f>
        <v>#N/A</v>
      </c>
      <c r="F731" s="24" t="str">
        <f>IFERROR(__xludf.DUMMYFUNCTION("""COMPUTED_VALUE"""),"#N/A")</f>
        <v>#N/A</v>
      </c>
    </row>
    <row r="732">
      <c r="A732" s="23"/>
      <c r="B732" s="23"/>
      <c r="C732" s="23"/>
      <c r="D732" s="23"/>
      <c r="E732" s="24" t="str">
        <f>IFERROR(__xludf.DUMMYFUNCTION("""COMPUTED_VALUE"""),"#N/A")</f>
        <v>#N/A</v>
      </c>
      <c r="F732" s="24" t="str">
        <f>IFERROR(__xludf.DUMMYFUNCTION("""COMPUTED_VALUE"""),"#N/A")</f>
        <v>#N/A</v>
      </c>
    </row>
    <row r="733">
      <c r="A733" s="23"/>
      <c r="B733" s="23"/>
      <c r="C733" s="23"/>
      <c r="D733" s="23"/>
      <c r="E733" s="24" t="str">
        <f>IFERROR(__xludf.DUMMYFUNCTION("""COMPUTED_VALUE"""),"#N/A")</f>
        <v>#N/A</v>
      </c>
      <c r="F733" s="24" t="str">
        <f>IFERROR(__xludf.DUMMYFUNCTION("""COMPUTED_VALUE"""),"#N/A")</f>
        <v>#N/A</v>
      </c>
    </row>
    <row r="734">
      <c r="A734" s="23"/>
      <c r="B734" s="23"/>
      <c r="C734" s="23"/>
      <c r="D734" s="23"/>
      <c r="E734" s="24" t="str">
        <f>IFERROR(__xludf.DUMMYFUNCTION("""COMPUTED_VALUE"""),"#N/A")</f>
        <v>#N/A</v>
      </c>
      <c r="F734" s="24" t="str">
        <f>IFERROR(__xludf.DUMMYFUNCTION("""COMPUTED_VALUE"""),"#N/A")</f>
        <v>#N/A</v>
      </c>
    </row>
    <row r="735">
      <c r="A735" s="23"/>
      <c r="B735" s="23"/>
      <c r="C735" s="23"/>
      <c r="D735" s="23"/>
      <c r="E735" s="24" t="str">
        <f>IFERROR(__xludf.DUMMYFUNCTION("""COMPUTED_VALUE"""),"#N/A")</f>
        <v>#N/A</v>
      </c>
      <c r="F735" s="24" t="str">
        <f>IFERROR(__xludf.DUMMYFUNCTION("""COMPUTED_VALUE"""),"#N/A")</f>
        <v>#N/A</v>
      </c>
    </row>
    <row r="736">
      <c r="A736" s="23"/>
      <c r="B736" s="23"/>
      <c r="C736" s="23"/>
      <c r="D736" s="23"/>
      <c r="E736" s="24" t="str">
        <f>IFERROR(__xludf.DUMMYFUNCTION("""COMPUTED_VALUE"""),"#N/A")</f>
        <v>#N/A</v>
      </c>
      <c r="F736" s="24" t="str">
        <f>IFERROR(__xludf.DUMMYFUNCTION("""COMPUTED_VALUE"""),"#N/A")</f>
        <v>#N/A</v>
      </c>
    </row>
    <row r="737">
      <c r="A737" s="23"/>
      <c r="B737" s="23"/>
      <c r="C737" s="23"/>
      <c r="D737" s="23"/>
      <c r="E737" s="24" t="str">
        <f>IFERROR(__xludf.DUMMYFUNCTION("""COMPUTED_VALUE"""),"#N/A")</f>
        <v>#N/A</v>
      </c>
      <c r="F737" s="24" t="str">
        <f>IFERROR(__xludf.DUMMYFUNCTION("""COMPUTED_VALUE"""),"#N/A")</f>
        <v>#N/A</v>
      </c>
    </row>
    <row r="738">
      <c r="A738" s="23"/>
      <c r="B738" s="23"/>
      <c r="C738" s="23"/>
      <c r="D738" s="23"/>
      <c r="E738" s="24" t="str">
        <f>IFERROR(__xludf.DUMMYFUNCTION("""COMPUTED_VALUE"""),"#N/A")</f>
        <v>#N/A</v>
      </c>
      <c r="F738" s="24" t="str">
        <f>IFERROR(__xludf.DUMMYFUNCTION("""COMPUTED_VALUE"""),"#N/A")</f>
        <v>#N/A</v>
      </c>
    </row>
    <row r="739">
      <c r="A739" s="23"/>
      <c r="B739" s="23"/>
      <c r="C739" s="23"/>
      <c r="D739" s="23"/>
      <c r="E739" s="24" t="str">
        <f>IFERROR(__xludf.DUMMYFUNCTION("""COMPUTED_VALUE"""),"#N/A")</f>
        <v>#N/A</v>
      </c>
      <c r="F739" s="24" t="str">
        <f>IFERROR(__xludf.DUMMYFUNCTION("""COMPUTED_VALUE"""),"#N/A")</f>
        <v>#N/A</v>
      </c>
    </row>
    <row r="740">
      <c r="A740" s="23"/>
      <c r="B740" s="23"/>
      <c r="C740" s="23"/>
      <c r="D740" s="23"/>
      <c r="E740" s="24" t="str">
        <f>IFERROR(__xludf.DUMMYFUNCTION("""COMPUTED_VALUE"""),"#N/A")</f>
        <v>#N/A</v>
      </c>
      <c r="F740" s="24" t="str">
        <f>IFERROR(__xludf.DUMMYFUNCTION("""COMPUTED_VALUE"""),"#N/A")</f>
        <v>#N/A</v>
      </c>
    </row>
    <row r="741">
      <c r="A741" s="23"/>
      <c r="B741" s="23"/>
      <c r="C741" s="23"/>
      <c r="D741" s="23"/>
      <c r="E741" s="24" t="str">
        <f>IFERROR(__xludf.DUMMYFUNCTION("""COMPUTED_VALUE"""),"#N/A")</f>
        <v>#N/A</v>
      </c>
      <c r="F741" s="24" t="str">
        <f>IFERROR(__xludf.DUMMYFUNCTION("""COMPUTED_VALUE"""),"#N/A")</f>
        <v>#N/A</v>
      </c>
    </row>
    <row r="742">
      <c r="A742" s="23"/>
      <c r="B742" s="23"/>
      <c r="C742" s="23"/>
      <c r="D742" s="23"/>
      <c r="E742" s="24" t="str">
        <f>IFERROR(__xludf.DUMMYFUNCTION("""COMPUTED_VALUE"""),"#N/A")</f>
        <v>#N/A</v>
      </c>
      <c r="F742" s="24" t="str">
        <f>IFERROR(__xludf.DUMMYFUNCTION("""COMPUTED_VALUE"""),"#N/A")</f>
        <v>#N/A</v>
      </c>
    </row>
    <row r="743">
      <c r="A743" s="23"/>
      <c r="B743" s="23"/>
      <c r="C743" s="23"/>
      <c r="D743" s="23"/>
      <c r="E743" s="24" t="str">
        <f>IFERROR(__xludf.DUMMYFUNCTION("""COMPUTED_VALUE"""),"#N/A")</f>
        <v>#N/A</v>
      </c>
      <c r="F743" s="24" t="str">
        <f>IFERROR(__xludf.DUMMYFUNCTION("""COMPUTED_VALUE"""),"#N/A")</f>
        <v>#N/A</v>
      </c>
    </row>
    <row r="744">
      <c r="A744" s="23"/>
      <c r="B744" s="23"/>
      <c r="C744" s="23"/>
      <c r="D744" s="23"/>
      <c r="E744" s="24" t="str">
        <f>IFERROR(__xludf.DUMMYFUNCTION("""COMPUTED_VALUE"""),"#N/A")</f>
        <v>#N/A</v>
      </c>
      <c r="F744" s="24" t="str">
        <f>IFERROR(__xludf.DUMMYFUNCTION("""COMPUTED_VALUE"""),"#N/A")</f>
        <v>#N/A</v>
      </c>
    </row>
    <row r="745">
      <c r="A745" s="23"/>
      <c r="B745" s="23"/>
      <c r="C745" s="23"/>
      <c r="D745" s="23"/>
      <c r="E745" s="24" t="str">
        <f>IFERROR(__xludf.DUMMYFUNCTION("""COMPUTED_VALUE"""),"#N/A")</f>
        <v>#N/A</v>
      </c>
      <c r="F745" s="24" t="str">
        <f>IFERROR(__xludf.DUMMYFUNCTION("""COMPUTED_VALUE"""),"#N/A")</f>
        <v>#N/A</v>
      </c>
    </row>
    <row r="746">
      <c r="A746" s="23"/>
      <c r="B746" s="23"/>
      <c r="C746" s="23"/>
      <c r="D746" s="23"/>
      <c r="E746" s="24" t="str">
        <f>IFERROR(__xludf.DUMMYFUNCTION("""COMPUTED_VALUE"""),"#N/A")</f>
        <v>#N/A</v>
      </c>
      <c r="F746" s="24" t="str">
        <f>IFERROR(__xludf.DUMMYFUNCTION("""COMPUTED_VALUE"""),"#N/A")</f>
        <v>#N/A</v>
      </c>
    </row>
    <row r="747">
      <c r="A747" s="23"/>
      <c r="B747" s="23"/>
      <c r="C747" s="23"/>
      <c r="D747" s="23"/>
      <c r="E747" s="24" t="str">
        <f>IFERROR(__xludf.DUMMYFUNCTION("""COMPUTED_VALUE"""),"#N/A")</f>
        <v>#N/A</v>
      </c>
      <c r="F747" s="24" t="str">
        <f>IFERROR(__xludf.DUMMYFUNCTION("""COMPUTED_VALUE"""),"#N/A")</f>
        <v>#N/A</v>
      </c>
    </row>
    <row r="748">
      <c r="A748" s="23"/>
      <c r="B748" s="23"/>
      <c r="C748" s="23"/>
      <c r="D748" s="23"/>
      <c r="E748" s="24" t="str">
        <f>IFERROR(__xludf.DUMMYFUNCTION("""COMPUTED_VALUE"""),"#N/A")</f>
        <v>#N/A</v>
      </c>
      <c r="F748" s="24" t="str">
        <f>IFERROR(__xludf.DUMMYFUNCTION("""COMPUTED_VALUE"""),"#N/A")</f>
        <v>#N/A</v>
      </c>
    </row>
    <row r="749">
      <c r="A749" s="23"/>
      <c r="B749" s="23"/>
      <c r="C749" s="23"/>
      <c r="D749" s="23"/>
      <c r="E749" s="24" t="str">
        <f>IFERROR(__xludf.DUMMYFUNCTION("""COMPUTED_VALUE"""),"#N/A")</f>
        <v>#N/A</v>
      </c>
      <c r="F749" s="24" t="str">
        <f>IFERROR(__xludf.DUMMYFUNCTION("""COMPUTED_VALUE"""),"#N/A")</f>
        <v>#N/A</v>
      </c>
    </row>
    <row r="750">
      <c r="A750" s="23"/>
      <c r="B750" s="23"/>
      <c r="C750" s="23"/>
      <c r="D750" s="23"/>
      <c r="E750" s="24" t="str">
        <f>IFERROR(__xludf.DUMMYFUNCTION("""COMPUTED_VALUE"""),"#N/A")</f>
        <v>#N/A</v>
      </c>
      <c r="F750" s="24" t="str">
        <f>IFERROR(__xludf.DUMMYFUNCTION("""COMPUTED_VALUE"""),"#N/A")</f>
        <v>#N/A</v>
      </c>
    </row>
    <row r="751">
      <c r="A751" s="23"/>
      <c r="B751" s="23"/>
      <c r="C751" s="23"/>
      <c r="D751" s="23"/>
      <c r="E751" s="24" t="str">
        <f>IFERROR(__xludf.DUMMYFUNCTION("""COMPUTED_VALUE"""),"#N/A")</f>
        <v>#N/A</v>
      </c>
      <c r="F751" s="24" t="str">
        <f>IFERROR(__xludf.DUMMYFUNCTION("""COMPUTED_VALUE"""),"#N/A")</f>
        <v>#N/A</v>
      </c>
    </row>
    <row r="752">
      <c r="A752" s="23"/>
      <c r="B752" s="23"/>
      <c r="C752" s="23"/>
      <c r="D752" s="23"/>
      <c r="E752" s="24" t="str">
        <f>IFERROR(__xludf.DUMMYFUNCTION("""COMPUTED_VALUE"""),"#N/A")</f>
        <v>#N/A</v>
      </c>
      <c r="F752" s="24" t="str">
        <f>IFERROR(__xludf.DUMMYFUNCTION("""COMPUTED_VALUE"""),"#N/A")</f>
        <v>#N/A</v>
      </c>
    </row>
    <row r="753">
      <c r="A753" s="23"/>
      <c r="B753" s="23"/>
      <c r="C753" s="23"/>
      <c r="D753" s="23"/>
      <c r="E753" s="24" t="str">
        <f>IFERROR(__xludf.DUMMYFUNCTION("""COMPUTED_VALUE"""),"#N/A")</f>
        <v>#N/A</v>
      </c>
      <c r="F753" s="24" t="str">
        <f>IFERROR(__xludf.DUMMYFUNCTION("""COMPUTED_VALUE"""),"#N/A")</f>
        <v>#N/A</v>
      </c>
    </row>
    <row r="754">
      <c r="A754" s="23"/>
      <c r="B754" s="23"/>
      <c r="C754" s="23"/>
      <c r="D754" s="23"/>
      <c r="E754" s="24" t="str">
        <f>IFERROR(__xludf.DUMMYFUNCTION("""COMPUTED_VALUE"""),"#N/A")</f>
        <v>#N/A</v>
      </c>
      <c r="F754" s="24" t="str">
        <f>IFERROR(__xludf.DUMMYFUNCTION("""COMPUTED_VALUE"""),"#N/A")</f>
        <v>#N/A</v>
      </c>
    </row>
    <row r="755">
      <c r="A755" s="23"/>
      <c r="B755" s="23"/>
      <c r="C755" s="23"/>
      <c r="D755" s="23"/>
      <c r="E755" s="24" t="str">
        <f>IFERROR(__xludf.DUMMYFUNCTION("""COMPUTED_VALUE"""),"#N/A")</f>
        <v>#N/A</v>
      </c>
      <c r="F755" s="24" t="str">
        <f>IFERROR(__xludf.DUMMYFUNCTION("""COMPUTED_VALUE"""),"#N/A")</f>
        <v>#N/A</v>
      </c>
    </row>
    <row r="756">
      <c r="A756" s="23"/>
      <c r="B756" s="23"/>
      <c r="C756" s="23"/>
      <c r="D756" s="23"/>
      <c r="E756" s="24" t="str">
        <f>IFERROR(__xludf.DUMMYFUNCTION("""COMPUTED_VALUE"""),"#N/A")</f>
        <v>#N/A</v>
      </c>
      <c r="F756" s="24" t="str">
        <f>IFERROR(__xludf.DUMMYFUNCTION("""COMPUTED_VALUE"""),"#N/A")</f>
        <v>#N/A</v>
      </c>
    </row>
    <row r="757">
      <c r="A757" s="23"/>
      <c r="B757" s="23"/>
      <c r="C757" s="23"/>
      <c r="D757" s="23"/>
      <c r="E757" s="24" t="str">
        <f>IFERROR(__xludf.DUMMYFUNCTION("""COMPUTED_VALUE"""),"#N/A")</f>
        <v>#N/A</v>
      </c>
      <c r="F757" s="24" t="str">
        <f>IFERROR(__xludf.DUMMYFUNCTION("""COMPUTED_VALUE"""),"#N/A")</f>
        <v>#N/A</v>
      </c>
    </row>
    <row r="758">
      <c r="A758" s="23"/>
      <c r="B758" s="23"/>
      <c r="C758" s="23"/>
      <c r="D758" s="23"/>
      <c r="E758" s="24" t="str">
        <f>IFERROR(__xludf.DUMMYFUNCTION("""COMPUTED_VALUE"""),"#N/A")</f>
        <v>#N/A</v>
      </c>
      <c r="F758" s="24" t="str">
        <f>IFERROR(__xludf.DUMMYFUNCTION("""COMPUTED_VALUE"""),"#N/A")</f>
        <v>#N/A</v>
      </c>
    </row>
    <row r="759">
      <c r="A759" s="23"/>
      <c r="B759" s="23"/>
      <c r="C759" s="23"/>
      <c r="D759" s="23"/>
      <c r="E759" s="24" t="str">
        <f>IFERROR(__xludf.DUMMYFUNCTION("""COMPUTED_VALUE"""),"#N/A")</f>
        <v>#N/A</v>
      </c>
      <c r="F759" s="24" t="str">
        <f>IFERROR(__xludf.DUMMYFUNCTION("""COMPUTED_VALUE"""),"#N/A")</f>
        <v>#N/A</v>
      </c>
    </row>
    <row r="760">
      <c r="A760" s="23"/>
      <c r="B760" s="23"/>
      <c r="C760" s="23"/>
      <c r="D760" s="23"/>
      <c r="E760" s="24" t="str">
        <f>IFERROR(__xludf.DUMMYFUNCTION("""COMPUTED_VALUE"""),"#N/A")</f>
        <v>#N/A</v>
      </c>
      <c r="F760" s="24" t="str">
        <f>IFERROR(__xludf.DUMMYFUNCTION("""COMPUTED_VALUE"""),"#N/A")</f>
        <v>#N/A</v>
      </c>
    </row>
    <row r="761">
      <c r="A761" s="23"/>
      <c r="B761" s="23"/>
      <c r="C761" s="23"/>
      <c r="D761" s="23"/>
      <c r="E761" s="24" t="str">
        <f>IFERROR(__xludf.DUMMYFUNCTION("""COMPUTED_VALUE"""),"#N/A")</f>
        <v>#N/A</v>
      </c>
      <c r="F761" s="24" t="str">
        <f>IFERROR(__xludf.DUMMYFUNCTION("""COMPUTED_VALUE"""),"#N/A")</f>
        <v>#N/A</v>
      </c>
    </row>
    <row r="762">
      <c r="A762" s="23"/>
      <c r="B762" s="23"/>
      <c r="C762" s="23"/>
      <c r="D762" s="23"/>
      <c r="E762" s="24" t="str">
        <f>IFERROR(__xludf.DUMMYFUNCTION("""COMPUTED_VALUE"""),"#N/A")</f>
        <v>#N/A</v>
      </c>
      <c r="F762" s="24" t="str">
        <f>IFERROR(__xludf.DUMMYFUNCTION("""COMPUTED_VALUE"""),"#N/A")</f>
        <v>#N/A</v>
      </c>
    </row>
    <row r="763">
      <c r="A763" s="23"/>
      <c r="B763" s="23"/>
      <c r="C763" s="23"/>
      <c r="D763" s="23"/>
      <c r="E763" s="24" t="str">
        <f>IFERROR(__xludf.DUMMYFUNCTION("""COMPUTED_VALUE"""),"#N/A")</f>
        <v>#N/A</v>
      </c>
      <c r="F763" s="24" t="str">
        <f>IFERROR(__xludf.DUMMYFUNCTION("""COMPUTED_VALUE"""),"#N/A")</f>
        <v>#N/A</v>
      </c>
    </row>
    <row r="764">
      <c r="A764" s="23"/>
      <c r="B764" s="23"/>
      <c r="C764" s="23"/>
      <c r="D764" s="23"/>
      <c r="E764" s="24" t="str">
        <f>IFERROR(__xludf.DUMMYFUNCTION("""COMPUTED_VALUE"""),"#N/A")</f>
        <v>#N/A</v>
      </c>
      <c r="F764" s="24" t="str">
        <f>IFERROR(__xludf.DUMMYFUNCTION("""COMPUTED_VALUE"""),"#N/A")</f>
        <v>#N/A</v>
      </c>
    </row>
    <row r="765">
      <c r="A765" s="23"/>
      <c r="B765" s="23"/>
      <c r="C765" s="23"/>
      <c r="D765" s="23"/>
      <c r="E765" s="24" t="str">
        <f>IFERROR(__xludf.DUMMYFUNCTION("""COMPUTED_VALUE"""),"#N/A")</f>
        <v>#N/A</v>
      </c>
      <c r="F765" s="24" t="str">
        <f>IFERROR(__xludf.DUMMYFUNCTION("""COMPUTED_VALUE"""),"#N/A")</f>
        <v>#N/A</v>
      </c>
    </row>
    <row r="766">
      <c r="A766" s="23"/>
      <c r="B766" s="23"/>
      <c r="C766" s="23"/>
      <c r="D766" s="23"/>
      <c r="E766" s="24" t="str">
        <f>IFERROR(__xludf.DUMMYFUNCTION("""COMPUTED_VALUE"""),"#N/A")</f>
        <v>#N/A</v>
      </c>
      <c r="F766" s="24" t="str">
        <f>IFERROR(__xludf.DUMMYFUNCTION("""COMPUTED_VALUE"""),"#N/A")</f>
        <v>#N/A</v>
      </c>
    </row>
    <row r="767">
      <c r="A767" s="23"/>
      <c r="B767" s="23"/>
      <c r="C767" s="23"/>
      <c r="D767" s="23"/>
      <c r="E767" s="24" t="str">
        <f>IFERROR(__xludf.DUMMYFUNCTION("""COMPUTED_VALUE"""),"#N/A")</f>
        <v>#N/A</v>
      </c>
      <c r="F767" s="24" t="str">
        <f>IFERROR(__xludf.DUMMYFUNCTION("""COMPUTED_VALUE"""),"#N/A")</f>
        <v>#N/A</v>
      </c>
    </row>
    <row r="768">
      <c r="A768" s="23"/>
      <c r="B768" s="23"/>
      <c r="C768" s="23"/>
      <c r="D768" s="23"/>
      <c r="E768" s="24" t="str">
        <f>IFERROR(__xludf.DUMMYFUNCTION("""COMPUTED_VALUE"""),"#N/A")</f>
        <v>#N/A</v>
      </c>
      <c r="F768" s="24" t="str">
        <f>IFERROR(__xludf.DUMMYFUNCTION("""COMPUTED_VALUE"""),"#N/A")</f>
        <v>#N/A</v>
      </c>
    </row>
    <row r="769">
      <c r="A769" s="23"/>
      <c r="B769" s="23"/>
      <c r="C769" s="23"/>
      <c r="D769" s="23"/>
      <c r="E769" s="24" t="str">
        <f>IFERROR(__xludf.DUMMYFUNCTION("""COMPUTED_VALUE"""),"#N/A")</f>
        <v>#N/A</v>
      </c>
      <c r="F769" s="24" t="str">
        <f>IFERROR(__xludf.DUMMYFUNCTION("""COMPUTED_VALUE"""),"#N/A")</f>
        <v>#N/A</v>
      </c>
    </row>
    <row r="770">
      <c r="A770" s="23"/>
      <c r="B770" s="23"/>
      <c r="C770" s="23"/>
      <c r="D770" s="23"/>
      <c r="E770" s="24" t="str">
        <f>IFERROR(__xludf.DUMMYFUNCTION("""COMPUTED_VALUE"""),"#N/A")</f>
        <v>#N/A</v>
      </c>
      <c r="F770" s="24" t="str">
        <f>IFERROR(__xludf.DUMMYFUNCTION("""COMPUTED_VALUE"""),"#N/A")</f>
        <v>#N/A</v>
      </c>
    </row>
    <row r="771">
      <c r="A771" s="23"/>
      <c r="B771" s="23"/>
      <c r="C771" s="23"/>
      <c r="D771" s="23"/>
      <c r="E771" s="24" t="str">
        <f>IFERROR(__xludf.DUMMYFUNCTION("""COMPUTED_VALUE"""),"#N/A")</f>
        <v>#N/A</v>
      </c>
      <c r="F771" s="24" t="str">
        <f>IFERROR(__xludf.DUMMYFUNCTION("""COMPUTED_VALUE"""),"#N/A")</f>
        <v>#N/A</v>
      </c>
    </row>
    <row r="772">
      <c r="A772" s="23"/>
      <c r="B772" s="23"/>
      <c r="C772" s="23"/>
      <c r="D772" s="23"/>
      <c r="E772" s="24" t="str">
        <f>IFERROR(__xludf.DUMMYFUNCTION("""COMPUTED_VALUE"""),"#N/A")</f>
        <v>#N/A</v>
      </c>
      <c r="F772" s="24" t="str">
        <f>IFERROR(__xludf.DUMMYFUNCTION("""COMPUTED_VALUE"""),"#N/A")</f>
        <v>#N/A</v>
      </c>
    </row>
    <row r="773">
      <c r="A773" s="23"/>
      <c r="B773" s="23"/>
      <c r="C773" s="23"/>
      <c r="D773" s="23"/>
      <c r="E773" s="24" t="str">
        <f>IFERROR(__xludf.DUMMYFUNCTION("""COMPUTED_VALUE"""),"#N/A")</f>
        <v>#N/A</v>
      </c>
      <c r="F773" s="24" t="str">
        <f>IFERROR(__xludf.DUMMYFUNCTION("""COMPUTED_VALUE"""),"#N/A")</f>
        <v>#N/A</v>
      </c>
    </row>
    <row r="774">
      <c r="A774" s="23"/>
      <c r="B774" s="23"/>
      <c r="C774" s="23"/>
      <c r="D774" s="23"/>
      <c r="E774" s="24" t="str">
        <f>IFERROR(__xludf.DUMMYFUNCTION("""COMPUTED_VALUE"""),"#N/A")</f>
        <v>#N/A</v>
      </c>
      <c r="F774" s="24" t="str">
        <f>IFERROR(__xludf.DUMMYFUNCTION("""COMPUTED_VALUE"""),"#N/A")</f>
        <v>#N/A</v>
      </c>
    </row>
    <row r="775">
      <c r="A775" s="23"/>
      <c r="B775" s="23"/>
      <c r="C775" s="23"/>
      <c r="D775" s="23"/>
      <c r="E775" s="24" t="str">
        <f>IFERROR(__xludf.DUMMYFUNCTION("""COMPUTED_VALUE"""),"#N/A")</f>
        <v>#N/A</v>
      </c>
      <c r="F775" s="24" t="str">
        <f>IFERROR(__xludf.DUMMYFUNCTION("""COMPUTED_VALUE"""),"#N/A")</f>
        <v>#N/A</v>
      </c>
    </row>
    <row r="776">
      <c r="A776" s="23"/>
      <c r="B776" s="23"/>
      <c r="C776" s="23"/>
      <c r="D776" s="23"/>
      <c r="E776" s="24" t="str">
        <f>IFERROR(__xludf.DUMMYFUNCTION("""COMPUTED_VALUE"""),"#N/A")</f>
        <v>#N/A</v>
      </c>
      <c r="F776" s="24" t="str">
        <f>IFERROR(__xludf.DUMMYFUNCTION("""COMPUTED_VALUE"""),"#N/A")</f>
        <v>#N/A</v>
      </c>
    </row>
    <row r="777">
      <c r="A777" s="23"/>
      <c r="B777" s="23"/>
      <c r="C777" s="23"/>
      <c r="D777" s="23"/>
      <c r="E777" s="24" t="str">
        <f>IFERROR(__xludf.DUMMYFUNCTION("""COMPUTED_VALUE"""),"#N/A")</f>
        <v>#N/A</v>
      </c>
      <c r="F777" s="24" t="str">
        <f>IFERROR(__xludf.DUMMYFUNCTION("""COMPUTED_VALUE"""),"#N/A")</f>
        <v>#N/A</v>
      </c>
    </row>
    <row r="778">
      <c r="A778" s="23"/>
      <c r="B778" s="23"/>
      <c r="C778" s="23"/>
      <c r="D778" s="23"/>
      <c r="E778" s="24" t="str">
        <f>IFERROR(__xludf.DUMMYFUNCTION("""COMPUTED_VALUE"""),"#N/A")</f>
        <v>#N/A</v>
      </c>
      <c r="F778" s="24" t="str">
        <f>IFERROR(__xludf.DUMMYFUNCTION("""COMPUTED_VALUE"""),"#N/A")</f>
        <v>#N/A</v>
      </c>
    </row>
    <row r="779">
      <c r="A779" s="23"/>
      <c r="B779" s="23"/>
      <c r="C779" s="23"/>
      <c r="D779" s="23"/>
      <c r="E779" s="24" t="str">
        <f>IFERROR(__xludf.DUMMYFUNCTION("""COMPUTED_VALUE"""),"#N/A")</f>
        <v>#N/A</v>
      </c>
      <c r="F779" s="24" t="str">
        <f>IFERROR(__xludf.DUMMYFUNCTION("""COMPUTED_VALUE"""),"#N/A")</f>
        <v>#N/A</v>
      </c>
    </row>
    <row r="780">
      <c r="A780" s="23"/>
      <c r="B780" s="23"/>
      <c r="C780" s="23"/>
      <c r="D780" s="23"/>
      <c r="E780" s="24" t="str">
        <f>IFERROR(__xludf.DUMMYFUNCTION("""COMPUTED_VALUE"""),"#N/A")</f>
        <v>#N/A</v>
      </c>
      <c r="F780" s="24" t="str">
        <f>IFERROR(__xludf.DUMMYFUNCTION("""COMPUTED_VALUE"""),"#N/A")</f>
        <v>#N/A</v>
      </c>
    </row>
    <row r="781">
      <c r="A781" s="23"/>
      <c r="B781" s="23"/>
      <c r="C781" s="23"/>
      <c r="D781" s="23"/>
      <c r="E781" s="24" t="str">
        <f>IFERROR(__xludf.DUMMYFUNCTION("""COMPUTED_VALUE"""),"#N/A")</f>
        <v>#N/A</v>
      </c>
      <c r="F781" s="24" t="str">
        <f>IFERROR(__xludf.DUMMYFUNCTION("""COMPUTED_VALUE"""),"#N/A")</f>
        <v>#N/A</v>
      </c>
    </row>
    <row r="782">
      <c r="A782" s="23"/>
      <c r="B782" s="23"/>
      <c r="C782" s="23"/>
      <c r="D782" s="23"/>
      <c r="E782" s="24" t="str">
        <f>IFERROR(__xludf.DUMMYFUNCTION("""COMPUTED_VALUE"""),"#N/A")</f>
        <v>#N/A</v>
      </c>
      <c r="F782" s="24" t="str">
        <f>IFERROR(__xludf.DUMMYFUNCTION("""COMPUTED_VALUE"""),"#N/A")</f>
        <v>#N/A</v>
      </c>
    </row>
    <row r="783">
      <c r="A783" s="23"/>
      <c r="B783" s="23"/>
      <c r="C783" s="23"/>
      <c r="D783" s="23"/>
      <c r="E783" s="24" t="str">
        <f>IFERROR(__xludf.DUMMYFUNCTION("""COMPUTED_VALUE"""),"#N/A")</f>
        <v>#N/A</v>
      </c>
      <c r="F783" s="24" t="str">
        <f>IFERROR(__xludf.DUMMYFUNCTION("""COMPUTED_VALUE"""),"#N/A")</f>
        <v>#N/A</v>
      </c>
    </row>
    <row r="784">
      <c r="A784" s="23"/>
      <c r="B784" s="23"/>
      <c r="C784" s="23"/>
      <c r="D784" s="23"/>
      <c r="E784" s="24" t="str">
        <f>IFERROR(__xludf.DUMMYFUNCTION("""COMPUTED_VALUE"""),"#N/A")</f>
        <v>#N/A</v>
      </c>
      <c r="F784" s="24" t="str">
        <f>IFERROR(__xludf.DUMMYFUNCTION("""COMPUTED_VALUE"""),"#N/A")</f>
        <v>#N/A</v>
      </c>
    </row>
    <row r="785">
      <c r="A785" s="23"/>
      <c r="B785" s="23"/>
      <c r="C785" s="23"/>
      <c r="D785" s="23"/>
      <c r="E785" s="24" t="str">
        <f>IFERROR(__xludf.DUMMYFUNCTION("""COMPUTED_VALUE"""),"#N/A")</f>
        <v>#N/A</v>
      </c>
      <c r="F785" s="24" t="str">
        <f>IFERROR(__xludf.DUMMYFUNCTION("""COMPUTED_VALUE"""),"#N/A")</f>
        <v>#N/A</v>
      </c>
    </row>
    <row r="786">
      <c r="A786" s="23"/>
      <c r="B786" s="23"/>
      <c r="C786" s="23"/>
      <c r="D786" s="23"/>
      <c r="E786" s="24" t="str">
        <f>IFERROR(__xludf.DUMMYFUNCTION("""COMPUTED_VALUE"""),"#N/A")</f>
        <v>#N/A</v>
      </c>
      <c r="F786" s="24" t="str">
        <f>IFERROR(__xludf.DUMMYFUNCTION("""COMPUTED_VALUE"""),"#N/A")</f>
        <v>#N/A</v>
      </c>
    </row>
    <row r="787">
      <c r="A787" s="23"/>
      <c r="B787" s="23"/>
      <c r="C787" s="23"/>
      <c r="D787" s="23"/>
      <c r="E787" s="24" t="str">
        <f>IFERROR(__xludf.DUMMYFUNCTION("""COMPUTED_VALUE"""),"#N/A")</f>
        <v>#N/A</v>
      </c>
      <c r="F787" s="24" t="str">
        <f>IFERROR(__xludf.DUMMYFUNCTION("""COMPUTED_VALUE"""),"#N/A")</f>
        <v>#N/A</v>
      </c>
    </row>
    <row r="788">
      <c r="A788" s="23"/>
      <c r="B788" s="23"/>
      <c r="C788" s="23"/>
      <c r="D788" s="23"/>
      <c r="E788" s="24" t="str">
        <f>IFERROR(__xludf.DUMMYFUNCTION("""COMPUTED_VALUE"""),"#N/A")</f>
        <v>#N/A</v>
      </c>
      <c r="F788" s="24" t="str">
        <f>IFERROR(__xludf.DUMMYFUNCTION("""COMPUTED_VALUE"""),"#N/A")</f>
        <v>#N/A</v>
      </c>
    </row>
    <row r="789">
      <c r="A789" s="23"/>
      <c r="B789" s="23"/>
      <c r="C789" s="23"/>
      <c r="D789" s="23"/>
      <c r="E789" s="24" t="str">
        <f>IFERROR(__xludf.DUMMYFUNCTION("""COMPUTED_VALUE"""),"#N/A")</f>
        <v>#N/A</v>
      </c>
      <c r="F789" s="24" t="str">
        <f>IFERROR(__xludf.DUMMYFUNCTION("""COMPUTED_VALUE"""),"#N/A")</f>
        <v>#N/A</v>
      </c>
    </row>
    <row r="790">
      <c r="A790" s="23"/>
      <c r="B790" s="23"/>
      <c r="C790" s="23"/>
      <c r="D790" s="23"/>
      <c r="E790" s="24" t="str">
        <f>IFERROR(__xludf.DUMMYFUNCTION("""COMPUTED_VALUE"""),"#N/A")</f>
        <v>#N/A</v>
      </c>
      <c r="F790" s="24" t="str">
        <f>IFERROR(__xludf.DUMMYFUNCTION("""COMPUTED_VALUE"""),"#N/A")</f>
        <v>#N/A</v>
      </c>
    </row>
    <row r="791">
      <c r="A791" s="23"/>
      <c r="B791" s="23"/>
      <c r="C791" s="23"/>
      <c r="D791" s="23"/>
      <c r="E791" s="24" t="str">
        <f>IFERROR(__xludf.DUMMYFUNCTION("""COMPUTED_VALUE"""),"#N/A")</f>
        <v>#N/A</v>
      </c>
      <c r="F791" s="24" t="str">
        <f>IFERROR(__xludf.DUMMYFUNCTION("""COMPUTED_VALUE"""),"#N/A")</f>
        <v>#N/A</v>
      </c>
    </row>
    <row r="792">
      <c r="A792" s="23"/>
      <c r="B792" s="23"/>
      <c r="C792" s="23"/>
      <c r="D792" s="23"/>
      <c r="E792" s="24" t="str">
        <f>IFERROR(__xludf.DUMMYFUNCTION("""COMPUTED_VALUE"""),"#N/A")</f>
        <v>#N/A</v>
      </c>
      <c r="F792" s="24" t="str">
        <f>IFERROR(__xludf.DUMMYFUNCTION("""COMPUTED_VALUE"""),"#N/A")</f>
        <v>#N/A</v>
      </c>
    </row>
    <row r="793">
      <c r="A793" s="23"/>
      <c r="B793" s="23"/>
      <c r="C793" s="23"/>
      <c r="D793" s="23"/>
      <c r="E793" s="24" t="str">
        <f>IFERROR(__xludf.DUMMYFUNCTION("""COMPUTED_VALUE"""),"#N/A")</f>
        <v>#N/A</v>
      </c>
      <c r="F793" s="24" t="str">
        <f>IFERROR(__xludf.DUMMYFUNCTION("""COMPUTED_VALUE"""),"#N/A")</f>
        <v>#N/A</v>
      </c>
    </row>
    <row r="794">
      <c r="A794" s="23"/>
      <c r="B794" s="23"/>
      <c r="C794" s="23"/>
      <c r="D794" s="23"/>
      <c r="E794" s="24" t="str">
        <f>IFERROR(__xludf.DUMMYFUNCTION("""COMPUTED_VALUE"""),"#N/A")</f>
        <v>#N/A</v>
      </c>
      <c r="F794" s="24" t="str">
        <f>IFERROR(__xludf.DUMMYFUNCTION("""COMPUTED_VALUE"""),"#N/A")</f>
        <v>#N/A</v>
      </c>
    </row>
    <row r="795">
      <c r="A795" s="23"/>
      <c r="B795" s="23"/>
      <c r="C795" s="23"/>
      <c r="D795" s="23"/>
      <c r="E795" s="24" t="str">
        <f>IFERROR(__xludf.DUMMYFUNCTION("""COMPUTED_VALUE"""),"#N/A")</f>
        <v>#N/A</v>
      </c>
      <c r="F795" s="24" t="str">
        <f>IFERROR(__xludf.DUMMYFUNCTION("""COMPUTED_VALUE"""),"#N/A")</f>
        <v>#N/A</v>
      </c>
    </row>
    <row r="796">
      <c r="A796" s="23"/>
      <c r="B796" s="23"/>
      <c r="C796" s="23"/>
      <c r="D796" s="23"/>
      <c r="E796" s="24" t="str">
        <f>IFERROR(__xludf.DUMMYFUNCTION("""COMPUTED_VALUE"""),"#N/A")</f>
        <v>#N/A</v>
      </c>
      <c r="F796" s="24" t="str">
        <f>IFERROR(__xludf.DUMMYFUNCTION("""COMPUTED_VALUE"""),"#N/A")</f>
        <v>#N/A</v>
      </c>
    </row>
    <row r="797">
      <c r="A797" s="23"/>
      <c r="B797" s="23"/>
      <c r="C797" s="23"/>
      <c r="D797" s="23"/>
      <c r="E797" s="24" t="str">
        <f>IFERROR(__xludf.DUMMYFUNCTION("""COMPUTED_VALUE"""),"#N/A")</f>
        <v>#N/A</v>
      </c>
      <c r="F797" s="24" t="str">
        <f>IFERROR(__xludf.DUMMYFUNCTION("""COMPUTED_VALUE"""),"#N/A")</f>
        <v>#N/A</v>
      </c>
    </row>
    <row r="798">
      <c r="A798" s="23"/>
      <c r="B798" s="23"/>
      <c r="C798" s="23"/>
      <c r="D798" s="23"/>
      <c r="E798" s="24" t="str">
        <f>IFERROR(__xludf.DUMMYFUNCTION("""COMPUTED_VALUE"""),"#N/A")</f>
        <v>#N/A</v>
      </c>
      <c r="F798" s="24" t="str">
        <f>IFERROR(__xludf.DUMMYFUNCTION("""COMPUTED_VALUE"""),"#N/A")</f>
        <v>#N/A</v>
      </c>
    </row>
    <row r="799">
      <c r="A799" s="23"/>
      <c r="B799" s="23"/>
      <c r="C799" s="23"/>
      <c r="D799" s="23"/>
      <c r="E799" s="24" t="str">
        <f>IFERROR(__xludf.DUMMYFUNCTION("""COMPUTED_VALUE"""),"#N/A")</f>
        <v>#N/A</v>
      </c>
      <c r="F799" s="24" t="str">
        <f>IFERROR(__xludf.DUMMYFUNCTION("""COMPUTED_VALUE"""),"#N/A")</f>
        <v>#N/A</v>
      </c>
    </row>
    <row r="800">
      <c r="A800" s="23"/>
      <c r="B800" s="23"/>
      <c r="C800" s="23"/>
      <c r="D800" s="23"/>
      <c r="E800" s="24" t="str">
        <f>IFERROR(__xludf.DUMMYFUNCTION("""COMPUTED_VALUE"""),"#N/A")</f>
        <v>#N/A</v>
      </c>
      <c r="F800" s="24" t="str">
        <f>IFERROR(__xludf.DUMMYFUNCTION("""COMPUTED_VALUE"""),"#N/A")</f>
        <v>#N/A</v>
      </c>
    </row>
    <row r="801">
      <c r="A801" s="23"/>
      <c r="B801" s="23"/>
      <c r="C801" s="23"/>
      <c r="D801" s="23"/>
      <c r="E801" s="24" t="str">
        <f>IFERROR(__xludf.DUMMYFUNCTION("""COMPUTED_VALUE"""),"#N/A")</f>
        <v>#N/A</v>
      </c>
      <c r="F801" s="24" t="str">
        <f>IFERROR(__xludf.DUMMYFUNCTION("""COMPUTED_VALUE"""),"#N/A")</f>
        <v>#N/A</v>
      </c>
    </row>
    <row r="802">
      <c r="A802" s="23"/>
      <c r="B802" s="23"/>
      <c r="C802" s="23"/>
      <c r="D802" s="23"/>
      <c r="E802" s="24" t="str">
        <f>IFERROR(__xludf.DUMMYFUNCTION("""COMPUTED_VALUE"""),"#N/A")</f>
        <v>#N/A</v>
      </c>
      <c r="F802" s="24" t="str">
        <f>IFERROR(__xludf.DUMMYFUNCTION("""COMPUTED_VALUE"""),"#N/A")</f>
        <v>#N/A</v>
      </c>
    </row>
    <row r="803">
      <c r="A803" s="23"/>
      <c r="B803" s="23"/>
      <c r="C803" s="23"/>
      <c r="D803" s="23"/>
      <c r="E803" s="24" t="str">
        <f>IFERROR(__xludf.DUMMYFUNCTION("""COMPUTED_VALUE"""),"#N/A")</f>
        <v>#N/A</v>
      </c>
      <c r="F803" s="24" t="str">
        <f>IFERROR(__xludf.DUMMYFUNCTION("""COMPUTED_VALUE"""),"#N/A")</f>
        <v>#N/A</v>
      </c>
    </row>
    <row r="804">
      <c r="A804" s="23"/>
      <c r="B804" s="23"/>
      <c r="C804" s="23"/>
      <c r="D804" s="23"/>
      <c r="E804" s="24" t="str">
        <f>IFERROR(__xludf.DUMMYFUNCTION("""COMPUTED_VALUE"""),"#N/A")</f>
        <v>#N/A</v>
      </c>
      <c r="F804" s="24" t="str">
        <f>IFERROR(__xludf.DUMMYFUNCTION("""COMPUTED_VALUE"""),"#N/A")</f>
        <v>#N/A</v>
      </c>
    </row>
    <row r="805">
      <c r="A805" s="23"/>
      <c r="B805" s="23"/>
      <c r="C805" s="23"/>
      <c r="D805" s="23"/>
      <c r="E805" s="24" t="str">
        <f>IFERROR(__xludf.DUMMYFUNCTION("""COMPUTED_VALUE"""),"#N/A")</f>
        <v>#N/A</v>
      </c>
      <c r="F805" s="24" t="str">
        <f>IFERROR(__xludf.DUMMYFUNCTION("""COMPUTED_VALUE"""),"#N/A")</f>
        <v>#N/A</v>
      </c>
    </row>
    <row r="806">
      <c r="A806" s="23"/>
      <c r="B806" s="23"/>
      <c r="C806" s="23"/>
      <c r="D806" s="23"/>
      <c r="E806" s="24" t="str">
        <f>IFERROR(__xludf.DUMMYFUNCTION("""COMPUTED_VALUE"""),"#N/A")</f>
        <v>#N/A</v>
      </c>
      <c r="F806" s="24" t="str">
        <f>IFERROR(__xludf.DUMMYFUNCTION("""COMPUTED_VALUE"""),"#N/A")</f>
        <v>#N/A</v>
      </c>
    </row>
    <row r="807">
      <c r="A807" s="23"/>
      <c r="B807" s="23"/>
      <c r="C807" s="23"/>
      <c r="D807" s="23"/>
      <c r="E807" s="24" t="str">
        <f>IFERROR(__xludf.DUMMYFUNCTION("""COMPUTED_VALUE"""),"#N/A")</f>
        <v>#N/A</v>
      </c>
      <c r="F807" s="24" t="str">
        <f>IFERROR(__xludf.DUMMYFUNCTION("""COMPUTED_VALUE"""),"#N/A")</f>
        <v>#N/A</v>
      </c>
    </row>
    <row r="808">
      <c r="A808" s="23"/>
      <c r="B808" s="23"/>
      <c r="C808" s="23"/>
      <c r="D808" s="23"/>
      <c r="E808" s="24" t="str">
        <f>IFERROR(__xludf.DUMMYFUNCTION("""COMPUTED_VALUE"""),"#N/A")</f>
        <v>#N/A</v>
      </c>
      <c r="F808" s="24" t="str">
        <f>IFERROR(__xludf.DUMMYFUNCTION("""COMPUTED_VALUE"""),"#N/A")</f>
        <v>#N/A</v>
      </c>
    </row>
    <row r="809">
      <c r="A809" s="23"/>
      <c r="B809" s="23"/>
      <c r="C809" s="23"/>
      <c r="D809" s="23"/>
      <c r="E809" s="24" t="str">
        <f>IFERROR(__xludf.DUMMYFUNCTION("""COMPUTED_VALUE"""),"#N/A")</f>
        <v>#N/A</v>
      </c>
      <c r="F809" s="24" t="str">
        <f>IFERROR(__xludf.DUMMYFUNCTION("""COMPUTED_VALUE"""),"#N/A")</f>
        <v>#N/A</v>
      </c>
    </row>
    <row r="810">
      <c r="A810" s="23"/>
      <c r="B810" s="23"/>
      <c r="C810" s="23"/>
      <c r="D810" s="23"/>
      <c r="E810" s="24" t="str">
        <f>IFERROR(__xludf.DUMMYFUNCTION("""COMPUTED_VALUE"""),"#N/A")</f>
        <v>#N/A</v>
      </c>
      <c r="F810" s="24" t="str">
        <f>IFERROR(__xludf.DUMMYFUNCTION("""COMPUTED_VALUE"""),"#N/A")</f>
        <v>#N/A</v>
      </c>
    </row>
    <row r="811">
      <c r="A811" s="23"/>
      <c r="B811" s="23"/>
      <c r="C811" s="23"/>
      <c r="D811" s="23"/>
      <c r="E811" s="24" t="str">
        <f>IFERROR(__xludf.DUMMYFUNCTION("""COMPUTED_VALUE"""),"#N/A")</f>
        <v>#N/A</v>
      </c>
      <c r="F811" s="24" t="str">
        <f>IFERROR(__xludf.DUMMYFUNCTION("""COMPUTED_VALUE"""),"#N/A")</f>
        <v>#N/A</v>
      </c>
    </row>
    <row r="812">
      <c r="A812" s="23"/>
      <c r="B812" s="23"/>
      <c r="C812" s="23"/>
      <c r="D812" s="23"/>
      <c r="E812" s="24" t="str">
        <f>IFERROR(__xludf.DUMMYFUNCTION("""COMPUTED_VALUE"""),"#N/A")</f>
        <v>#N/A</v>
      </c>
      <c r="F812" s="24" t="str">
        <f>IFERROR(__xludf.DUMMYFUNCTION("""COMPUTED_VALUE"""),"#N/A")</f>
        <v>#N/A</v>
      </c>
    </row>
    <row r="813">
      <c r="A813" s="23"/>
      <c r="B813" s="23"/>
      <c r="C813" s="23"/>
      <c r="D813" s="23"/>
      <c r="E813" s="24" t="str">
        <f>IFERROR(__xludf.DUMMYFUNCTION("""COMPUTED_VALUE"""),"#N/A")</f>
        <v>#N/A</v>
      </c>
      <c r="F813" s="24" t="str">
        <f>IFERROR(__xludf.DUMMYFUNCTION("""COMPUTED_VALUE"""),"#N/A")</f>
        <v>#N/A</v>
      </c>
    </row>
    <row r="814">
      <c r="A814" s="23"/>
      <c r="B814" s="23"/>
      <c r="C814" s="23"/>
      <c r="D814" s="23"/>
      <c r="E814" s="24" t="str">
        <f>IFERROR(__xludf.DUMMYFUNCTION("""COMPUTED_VALUE"""),"#N/A")</f>
        <v>#N/A</v>
      </c>
      <c r="F814" s="24" t="str">
        <f>IFERROR(__xludf.DUMMYFUNCTION("""COMPUTED_VALUE"""),"#N/A")</f>
        <v>#N/A</v>
      </c>
    </row>
    <row r="815">
      <c r="A815" s="23"/>
      <c r="B815" s="23"/>
      <c r="C815" s="23"/>
      <c r="D815" s="23"/>
      <c r="E815" s="24" t="str">
        <f>IFERROR(__xludf.DUMMYFUNCTION("""COMPUTED_VALUE"""),"#N/A")</f>
        <v>#N/A</v>
      </c>
      <c r="F815" s="24" t="str">
        <f>IFERROR(__xludf.DUMMYFUNCTION("""COMPUTED_VALUE"""),"#N/A")</f>
        <v>#N/A</v>
      </c>
    </row>
    <row r="816">
      <c r="A816" s="23"/>
      <c r="B816" s="23"/>
      <c r="C816" s="23"/>
      <c r="D816" s="23"/>
      <c r="E816" s="24" t="str">
        <f>IFERROR(__xludf.DUMMYFUNCTION("""COMPUTED_VALUE"""),"#N/A")</f>
        <v>#N/A</v>
      </c>
      <c r="F816" s="24" t="str">
        <f>IFERROR(__xludf.DUMMYFUNCTION("""COMPUTED_VALUE"""),"#N/A")</f>
        <v>#N/A</v>
      </c>
    </row>
    <row r="817">
      <c r="A817" s="23"/>
      <c r="B817" s="23"/>
      <c r="C817" s="23"/>
      <c r="D817" s="23"/>
      <c r="E817" s="24" t="str">
        <f>IFERROR(__xludf.DUMMYFUNCTION("""COMPUTED_VALUE"""),"#N/A")</f>
        <v>#N/A</v>
      </c>
      <c r="F817" s="24" t="str">
        <f>IFERROR(__xludf.DUMMYFUNCTION("""COMPUTED_VALUE"""),"#N/A")</f>
        <v>#N/A</v>
      </c>
    </row>
    <row r="818">
      <c r="A818" s="23"/>
      <c r="B818" s="23"/>
      <c r="C818" s="23"/>
      <c r="D818" s="23"/>
      <c r="E818" s="24" t="str">
        <f>IFERROR(__xludf.DUMMYFUNCTION("""COMPUTED_VALUE"""),"#N/A")</f>
        <v>#N/A</v>
      </c>
      <c r="F818" s="24" t="str">
        <f>IFERROR(__xludf.DUMMYFUNCTION("""COMPUTED_VALUE"""),"#N/A")</f>
        <v>#N/A</v>
      </c>
    </row>
    <row r="819">
      <c r="A819" s="23"/>
      <c r="B819" s="23"/>
      <c r="C819" s="23"/>
      <c r="D819" s="23"/>
      <c r="E819" s="24" t="str">
        <f>IFERROR(__xludf.DUMMYFUNCTION("""COMPUTED_VALUE"""),"#N/A")</f>
        <v>#N/A</v>
      </c>
      <c r="F819" s="24" t="str">
        <f>IFERROR(__xludf.DUMMYFUNCTION("""COMPUTED_VALUE"""),"#N/A")</f>
        <v>#N/A</v>
      </c>
    </row>
    <row r="820">
      <c r="A820" s="23"/>
      <c r="B820" s="23"/>
      <c r="C820" s="23"/>
      <c r="D820" s="23"/>
      <c r="E820" s="24" t="str">
        <f>IFERROR(__xludf.DUMMYFUNCTION("""COMPUTED_VALUE"""),"#N/A")</f>
        <v>#N/A</v>
      </c>
      <c r="F820" s="24" t="str">
        <f>IFERROR(__xludf.DUMMYFUNCTION("""COMPUTED_VALUE"""),"#N/A")</f>
        <v>#N/A</v>
      </c>
    </row>
    <row r="821">
      <c r="A821" s="23"/>
      <c r="B821" s="23"/>
      <c r="C821" s="23"/>
      <c r="D821" s="23"/>
      <c r="E821" s="24" t="str">
        <f>IFERROR(__xludf.DUMMYFUNCTION("""COMPUTED_VALUE"""),"#N/A")</f>
        <v>#N/A</v>
      </c>
      <c r="F821" s="24" t="str">
        <f>IFERROR(__xludf.DUMMYFUNCTION("""COMPUTED_VALUE"""),"#N/A")</f>
        <v>#N/A</v>
      </c>
    </row>
    <row r="822">
      <c r="A822" s="23"/>
      <c r="B822" s="23"/>
      <c r="C822" s="23"/>
      <c r="D822" s="23"/>
      <c r="E822" s="24" t="str">
        <f>IFERROR(__xludf.DUMMYFUNCTION("""COMPUTED_VALUE"""),"#N/A")</f>
        <v>#N/A</v>
      </c>
      <c r="F822" s="24" t="str">
        <f>IFERROR(__xludf.DUMMYFUNCTION("""COMPUTED_VALUE"""),"#N/A")</f>
        <v>#N/A</v>
      </c>
    </row>
    <row r="823">
      <c r="A823" s="23"/>
      <c r="B823" s="23"/>
      <c r="C823" s="23"/>
      <c r="D823" s="23"/>
      <c r="E823" s="24" t="str">
        <f>IFERROR(__xludf.DUMMYFUNCTION("""COMPUTED_VALUE"""),"#N/A")</f>
        <v>#N/A</v>
      </c>
      <c r="F823" s="24" t="str">
        <f>IFERROR(__xludf.DUMMYFUNCTION("""COMPUTED_VALUE"""),"#N/A")</f>
        <v>#N/A</v>
      </c>
    </row>
    <row r="824">
      <c r="A824" s="23"/>
      <c r="B824" s="23"/>
      <c r="C824" s="23"/>
      <c r="D824" s="23"/>
      <c r="E824" s="24" t="str">
        <f>IFERROR(__xludf.DUMMYFUNCTION("""COMPUTED_VALUE"""),"#N/A")</f>
        <v>#N/A</v>
      </c>
      <c r="F824" s="24" t="str">
        <f>IFERROR(__xludf.DUMMYFUNCTION("""COMPUTED_VALUE"""),"#N/A")</f>
        <v>#N/A</v>
      </c>
    </row>
    <row r="825">
      <c r="A825" s="23"/>
      <c r="B825" s="23"/>
      <c r="C825" s="23"/>
      <c r="D825" s="23"/>
      <c r="E825" s="24" t="str">
        <f>IFERROR(__xludf.DUMMYFUNCTION("""COMPUTED_VALUE"""),"#N/A")</f>
        <v>#N/A</v>
      </c>
      <c r="F825" s="24" t="str">
        <f>IFERROR(__xludf.DUMMYFUNCTION("""COMPUTED_VALUE"""),"#N/A")</f>
        <v>#N/A</v>
      </c>
    </row>
    <row r="826">
      <c r="A826" s="23"/>
      <c r="B826" s="23"/>
      <c r="C826" s="23"/>
      <c r="D826" s="23"/>
      <c r="E826" s="24" t="str">
        <f>IFERROR(__xludf.DUMMYFUNCTION("""COMPUTED_VALUE"""),"#N/A")</f>
        <v>#N/A</v>
      </c>
      <c r="F826" s="24" t="str">
        <f>IFERROR(__xludf.DUMMYFUNCTION("""COMPUTED_VALUE"""),"#N/A")</f>
        <v>#N/A</v>
      </c>
    </row>
    <row r="827">
      <c r="A827" s="23"/>
      <c r="B827" s="23"/>
      <c r="C827" s="23"/>
      <c r="D827" s="23"/>
      <c r="E827" s="24" t="str">
        <f>IFERROR(__xludf.DUMMYFUNCTION("""COMPUTED_VALUE"""),"#N/A")</f>
        <v>#N/A</v>
      </c>
      <c r="F827" s="24" t="str">
        <f>IFERROR(__xludf.DUMMYFUNCTION("""COMPUTED_VALUE"""),"#N/A")</f>
        <v>#N/A</v>
      </c>
    </row>
    <row r="828">
      <c r="A828" s="23"/>
      <c r="B828" s="23"/>
      <c r="C828" s="23"/>
      <c r="D828" s="23"/>
      <c r="E828" s="24" t="str">
        <f>IFERROR(__xludf.DUMMYFUNCTION("""COMPUTED_VALUE"""),"#N/A")</f>
        <v>#N/A</v>
      </c>
      <c r="F828" s="24" t="str">
        <f>IFERROR(__xludf.DUMMYFUNCTION("""COMPUTED_VALUE"""),"#N/A")</f>
        <v>#N/A</v>
      </c>
    </row>
    <row r="829">
      <c r="A829" s="23"/>
      <c r="B829" s="23"/>
      <c r="C829" s="23"/>
      <c r="D829" s="23"/>
      <c r="E829" s="24" t="str">
        <f>IFERROR(__xludf.DUMMYFUNCTION("""COMPUTED_VALUE"""),"#N/A")</f>
        <v>#N/A</v>
      </c>
      <c r="F829" s="24" t="str">
        <f>IFERROR(__xludf.DUMMYFUNCTION("""COMPUTED_VALUE"""),"#N/A")</f>
        <v>#N/A</v>
      </c>
    </row>
    <row r="830">
      <c r="A830" s="23"/>
      <c r="B830" s="23"/>
      <c r="C830" s="23"/>
      <c r="D830" s="23"/>
      <c r="E830" s="24" t="str">
        <f>IFERROR(__xludf.DUMMYFUNCTION("""COMPUTED_VALUE"""),"#N/A")</f>
        <v>#N/A</v>
      </c>
      <c r="F830" s="24" t="str">
        <f>IFERROR(__xludf.DUMMYFUNCTION("""COMPUTED_VALUE"""),"#N/A")</f>
        <v>#N/A</v>
      </c>
    </row>
    <row r="831">
      <c r="A831" s="23"/>
      <c r="B831" s="23"/>
      <c r="C831" s="23"/>
      <c r="D831" s="23"/>
      <c r="E831" s="24" t="str">
        <f>IFERROR(__xludf.DUMMYFUNCTION("""COMPUTED_VALUE"""),"#N/A")</f>
        <v>#N/A</v>
      </c>
      <c r="F831" s="24" t="str">
        <f>IFERROR(__xludf.DUMMYFUNCTION("""COMPUTED_VALUE"""),"#N/A")</f>
        <v>#N/A</v>
      </c>
    </row>
    <row r="832">
      <c r="A832" s="23"/>
      <c r="B832" s="23"/>
      <c r="C832" s="23"/>
      <c r="D832" s="23"/>
      <c r="E832" s="24" t="str">
        <f>IFERROR(__xludf.DUMMYFUNCTION("""COMPUTED_VALUE"""),"#N/A")</f>
        <v>#N/A</v>
      </c>
      <c r="F832" s="24" t="str">
        <f>IFERROR(__xludf.DUMMYFUNCTION("""COMPUTED_VALUE"""),"#N/A")</f>
        <v>#N/A</v>
      </c>
    </row>
    <row r="833">
      <c r="A833" s="23"/>
      <c r="B833" s="23"/>
      <c r="C833" s="23"/>
      <c r="D833" s="23"/>
      <c r="E833" s="24" t="str">
        <f>IFERROR(__xludf.DUMMYFUNCTION("""COMPUTED_VALUE"""),"#N/A")</f>
        <v>#N/A</v>
      </c>
      <c r="F833" s="24" t="str">
        <f>IFERROR(__xludf.DUMMYFUNCTION("""COMPUTED_VALUE"""),"#N/A")</f>
        <v>#N/A</v>
      </c>
    </row>
    <row r="834">
      <c r="A834" s="23"/>
      <c r="B834" s="23"/>
      <c r="C834" s="23"/>
      <c r="D834" s="23"/>
      <c r="E834" s="24" t="str">
        <f>IFERROR(__xludf.DUMMYFUNCTION("""COMPUTED_VALUE"""),"#N/A")</f>
        <v>#N/A</v>
      </c>
      <c r="F834" s="24" t="str">
        <f>IFERROR(__xludf.DUMMYFUNCTION("""COMPUTED_VALUE"""),"#N/A")</f>
        <v>#N/A</v>
      </c>
    </row>
    <row r="835">
      <c r="A835" s="23"/>
      <c r="B835" s="23"/>
      <c r="C835" s="23"/>
      <c r="D835" s="23"/>
      <c r="E835" s="24" t="str">
        <f>IFERROR(__xludf.DUMMYFUNCTION("""COMPUTED_VALUE"""),"#N/A")</f>
        <v>#N/A</v>
      </c>
      <c r="F835" s="24" t="str">
        <f>IFERROR(__xludf.DUMMYFUNCTION("""COMPUTED_VALUE"""),"#N/A")</f>
        <v>#N/A</v>
      </c>
    </row>
    <row r="836">
      <c r="A836" s="23"/>
      <c r="B836" s="23"/>
      <c r="C836" s="23"/>
      <c r="D836" s="23"/>
      <c r="E836" s="24" t="str">
        <f>IFERROR(__xludf.DUMMYFUNCTION("""COMPUTED_VALUE"""),"#N/A")</f>
        <v>#N/A</v>
      </c>
      <c r="F836" s="24" t="str">
        <f>IFERROR(__xludf.DUMMYFUNCTION("""COMPUTED_VALUE"""),"#N/A")</f>
        <v>#N/A</v>
      </c>
    </row>
    <row r="837">
      <c r="A837" s="23"/>
      <c r="B837" s="23"/>
      <c r="C837" s="23"/>
      <c r="D837" s="23"/>
      <c r="E837" s="24" t="str">
        <f>IFERROR(__xludf.DUMMYFUNCTION("""COMPUTED_VALUE"""),"#N/A")</f>
        <v>#N/A</v>
      </c>
      <c r="F837" s="24" t="str">
        <f>IFERROR(__xludf.DUMMYFUNCTION("""COMPUTED_VALUE"""),"#N/A")</f>
        <v>#N/A</v>
      </c>
    </row>
    <row r="838">
      <c r="A838" s="23"/>
      <c r="B838" s="23"/>
      <c r="C838" s="23"/>
      <c r="D838" s="23"/>
      <c r="E838" s="24" t="str">
        <f>IFERROR(__xludf.DUMMYFUNCTION("""COMPUTED_VALUE"""),"#N/A")</f>
        <v>#N/A</v>
      </c>
      <c r="F838" s="24" t="str">
        <f>IFERROR(__xludf.DUMMYFUNCTION("""COMPUTED_VALUE"""),"#N/A")</f>
        <v>#N/A</v>
      </c>
    </row>
    <row r="839">
      <c r="A839" s="23"/>
      <c r="B839" s="23"/>
      <c r="C839" s="23"/>
      <c r="D839" s="23"/>
      <c r="E839" s="24" t="str">
        <f>IFERROR(__xludf.DUMMYFUNCTION("""COMPUTED_VALUE"""),"#N/A")</f>
        <v>#N/A</v>
      </c>
      <c r="F839" s="24" t="str">
        <f>IFERROR(__xludf.DUMMYFUNCTION("""COMPUTED_VALUE"""),"#N/A")</f>
        <v>#N/A</v>
      </c>
    </row>
    <row r="840">
      <c r="A840" s="23"/>
      <c r="B840" s="23"/>
      <c r="C840" s="23"/>
      <c r="D840" s="23"/>
      <c r="E840" s="24" t="str">
        <f>IFERROR(__xludf.DUMMYFUNCTION("""COMPUTED_VALUE"""),"#N/A")</f>
        <v>#N/A</v>
      </c>
      <c r="F840" s="24" t="str">
        <f>IFERROR(__xludf.DUMMYFUNCTION("""COMPUTED_VALUE"""),"#N/A")</f>
        <v>#N/A</v>
      </c>
    </row>
    <row r="841">
      <c r="A841" s="23"/>
      <c r="B841" s="23"/>
      <c r="C841" s="23"/>
      <c r="D841" s="23"/>
      <c r="E841" s="24" t="str">
        <f>IFERROR(__xludf.DUMMYFUNCTION("""COMPUTED_VALUE"""),"#N/A")</f>
        <v>#N/A</v>
      </c>
      <c r="F841" s="24" t="str">
        <f>IFERROR(__xludf.DUMMYFUNCTION("""COMPUTED_VALUE"""),"#N/A")</f>
        <v>#N/A</v>
      </c>
    </row>
    <row r="842">
      <c r="A842" s="23"/>
      <c r="B842" s="23"/>
      <c r="C842" s="23"/>
      <c r="D842" s="23"/>
      <c r="E842" s="24" t="str">
        <f>IFERROR(__xludf.DUMMYFUNCTION("""COMPUTED_VALUE"""),"#N/A")</f>
        <v>#N/A</v>
      </c>
      <c r="F842" s="24" t="str">
        <f>IFERROR(__xludf.DUMMYFUNCTION("""COMPUTED_VALUE"""),"#N/A")</f>
        <v>#N/A</v>
      </c>
    </row>
    <row r="843">
      <c r="A843" s="23"/>
      <c r="B843" s="23"/>
      <c r="C843" s="23"/>
      <c r="D843" s="23"/>
      <c r="E843" s="24" t="str">
        <f>IFERROR(__xludf.DUMMYFUNCTION("""COMPUTED_VALUE"""),"#N/A")</f>
        <v>#N/A</v>
      </c>
      <c r="F843" s="24" t="str">
        <f>IFERROR(__xludf.DUMMYFUNCTION("""COMPUTED_VALUE"""),"#N/A")</f>
        <v>#N/A</v>
      </c>
    </row>
    <row r="844">
      <c r="A844" s="23"/>
      <c r="B844" s="23"/>
      <c r="C844" s="23"/>
      <c r="D844" s="23"/>
      <c r="E844" s="24" t="str">
        <f>IFERROR(__xludf.DUMMYFUNCTION("""COMPUTED_VALUE"""),"#N/A")</f>
        <v>#N/A</v>
      </c>
      <c r="F844" s="24" t="str">
        <f>IFERROR(__xludf.DUMMYFUNCTION("""COMPUTED_VALUE"""),"#N/A")</f>
        <v>#N/A</v>
      </c>
    </row>
    <row r="845">
      <c r="A845" s="23"/>
      <c r="B845" s="23"/>
      <c r="C845" s="23"/>
      <c r="D845" s="23"/>
      <c r="E845" s="24" t="str">
        <f>IFERROR(__xludf.DUMMYFUNCTION("""COMPUTED_VALUE"""),"#N/A")</f>
        <v>#N/A</v>
      </c>
      <c r="F845" s="24" t="str">
        <f>IFERROR(__xludf.DUMMYFUNCTION("""COMPUTED_VALUE"""),"#N/A")</f>
        <v>#N/A</v>
      </c>
    </row>
    <row r="846">
      <c r="A846" s="23"/>
      <c r="B846" s="23"/>
      <c r="C846" s="23"/>
      <c r="D846" s="23"/>
      <c r="E846" s="24" t="str">
        <f>IFERROR(__xludf.DUMMYFUNCTION("""COMPUTED_VALUE"""),"#N/A")</f>
        <v>#N/A</v>
      </c>
      <c r="F846" s="24" t="str">
        <f>IFERROR(__xludf.DUMMYFUNCTION("""COMPUTED_VALUE"""),"#N/A")</f>
        <v>#N/A</v>
      </c>
    </row>
    <row r="847">
      <c r="A847" s="23"/>
      <c r="B847" s="23"/>
      <c r="C847" s="23"/>
      <c r="D847" s="23"/>
      <c r="E847" s="24" t="str">
        <f>IFERROR(__xludf.DUMMYFUNCTION("""COMPUTED_VALUE"""),"#N/A")</f>
        <v>#N/A</v>
      </c>
      <c r="F847" s="24" t="str">
        <f>IFERROR(__xludf.DUMMYFUNCTION("""COMPUTED_VALUE"""),"#N/A")</f>
        <v>#N/A</v>
      </c>
    </row>
    <row r="848">
      <c r="A848" s="23"/>
      <c r="B848" s="23"/>
      <c r="C848" s="23"/>
      <c r="D848" s="23"/>
      <c r="E848" s="24" t="str">
        <f>IFERROR(__xludf.DUMMYFUNCTION("""COMPUTED_VALUE"""),"#N/A")</f>
        <v>#N/A</v>
      </c>
      <c r="F848" s="24" t="str">
        <f>IFERROR(__xludf.DUMMYFUNCTION("""COMPUTED_VALUE"""),"#N/A")</f>
        <v>#N/A</v>
      </c>
    </row>
    <row r="849">
      <c r="A849" s="23"/>
      <c r="B849" s="23"/>
      <c r="C849" s="23"/>
      <c r="D849" s="23"/>
      <c r="E849" s="24" t="str">
        <f>IFERROR(__xludf.DUMMYFUNCTION("""COMPUTED_VALUE"""),"#N/A")</f>
        <v>#N/A</v>
      </c>
      <c r="F849" s="24" t="str">
        <f>IFERROR(__xludf.DUMMYFUNCTION("""COMPUTED_VALUE"""),"#N/A")</f>
        <v>#N/A</v>
      </c>
    </row>
    <row r="850">
      <c r="A850" s="23"/>
      <c r="B850" s="23"/>
      <c r="C850" s="23"/>
      <c r="D850" s="23"/>
      <c r="E850" s="24" t="str">
        <f>IFERROR(__xludf.DUMMYFUNCTION("""COMPUTED_VALUE"""),"#N/A")</f>
        <v>#N/A</v>
      </c>
      <c r="F850" s="24" t="str">
        <f>IFERROR(__xludf.DUMMYFUNCTION("""COMPUTED_VALUE"""),"#N/A")</f>
        <v>#N/A</v>
      </c>
    </row>
    <row r="851">
      <c r="A851" s="23"/>
      <c r="B851" s="23"/>
      <c r="C851" s="23"/>
      <c r="D851" s="23"/>
      <c r="E851" s="24" t="str">
        <f>IFERROR(__xludf.DUMMYFUNCTION("""COMPUTED_VALUE"""),"#N/A")</f>
        <v>#N/A</v>
      </c>
      <c r="F851" s="24" t="str">
        <f>IFERROR(__xludf.DUMMYFUNCTION("""COMPUTED_VALUE"""),"#N/A")</f>
        <v>#N/A</v>
      </c>
    </row>
    <row r="852">
      <c r="A852" s="23"/>
      <c r="B852" s="23"/>
      <c r="C852" s="23"/>
      <c r="D852" s="23"/>
      <c r="E852" s="24" t="str">
        <f>IFERROR(__xludf.DUMMYFUNCTION("""COMPUTED_VALUE"""),"#N/A")</f>
        <v>#N/A</v>
      </c>
      <c r="F852" s="24" t="str">
        <f>IFERROR(__xludf.DUMMYFUNCTION("""COMPUTED_VALUE"""),"#N/A")</f>
        <v>#N/A</v>
      </c>
    </row>
    <row r="853">
      <c r="A853" s="23"/>
      <c r="B853" s="23"/>
      <c r="C853" s="23"/>
      <c r="D853" s="23"/>
      <c r="E853" s="24" t="str">
        <f>IFERROR(__xludf.DUMMYFUNCTION("""COMPUTED_VALUE"""),"#N/A")</f>
        <v>#N/A</v>
      </c>
      <c r="F853" s="24" t="str">
        <f>IFERROR(__xludf.DUMMYFUNCTION("""COMPUTED_VALUE"""),"#N/A")</f>
        <v>#N/A</v>
      </c>
    </row>
    <row r="854">
      <c r="A854" s="23"/>
      <c r="B854" s="23"/>
      <c r="C854" s="23"/>
      <c r="D854" s="23"/>
      <c r="E854" s="24" t="str">
        <f>IFERROR(__xludf.DUMMYFUNCTION("""COMPUTED_VALUE"""),"#N/A")</f>
        <v>#N/A</v>
      </c>
      <c r="F854" s="24" t="str">
        <f>IFERROR(__xludf.DUMMYFUNCTION("""COMPUTED_VALUE"""),"#N/A")</f>
        <v>#N/A</v>
      </c>
    </row>
    <row r="855">
      <c r="A855" s="23"/>
      <c r="B855" s="23"/>
      <c r="C855" s="23"/>
      <c r="D855" s="23"/>
      <c r="E855" s="24" t="str">
        <f>IFERROR(__xludf.DUMMYFUNCTION("""COMPUTED_VALUE"""),"#N/A")</f>
        <v>#N/A</v>
      </c>
      <c r="F855" s="24" t="str">
        <f>IFERROR(__xludf.DUMMYFUNCTION("""COMPUTED_VALUE"""),"#N/A")</f>
        <v>#N/A</v>
      </c>
    </row>
    <row r="856">
      <c r="A856" s="23"/>
      <c r="B856" s="23"/>
      <c r="C856" s="23"/>
      <c r="D856" s="23"/>
      <c r="E856" s="24" t="str">
        <f>IFERROR(__xludf.DUMMYFUNCTION("""COMPUTED_VALUE"""),"#N/A")</f>
        <v>#N/A</v>
      </c>
      <c r="F856" s="24" t="str">
        <f>IFERROR(__xludf.DUMMYFUNCTION("""COMPUTED_VALUE"""),"#N/A")</f>
        <v>#N/A</v>
      </c>
    </row>
    <row r="857">
      <c r="A857" s="23"/>
      <c r="B857" s="23"/>
      <c r="C857" s="23"/>
      <c r="D857" s="23"/>
      <c r="E857" s="24" t="str">
        <f>IFERROR(__xludf.DUMMYFUNCTION("""COMPUTED_VALUE"""),"#N/A")</f>
        <v>#N/A</v>
      </c>
      <c r="F857" s="24" t="str">
        <f>IFERROR(__xludf.DUMMYFUNCTION("""COMPUTED_VALUE"""),"#N/A")</f>
        <v>#N/A</v>
      </c>
    </row>
    <row r="858">
      <c r="A858" s="23"/>
      <c r="B858" s="23"/>
      <c r="C858" s="23"/>
      <c r="D858" s="23"/>
      <c r="E858" s="24" t="str">
        <f>IFERROR(__xludf.DUMMYFUNCTION("""COMPUTED_VALUE"""),"#N/A")</f>
        <v>#N/A</v>
      </c>
      <c r="F858" s="24" t="str">
        <f>IFERROR(__xludf.DUMMYFUNCTION("""COMPUTED_VALUE"""),"#N/A")</f>
        <v>#N/A</v>
      </c>
    </row>
    <row r="859">
      <c r="A859" s="23"/>
      <c r="B859" s="23"/>
      <c r="C859" s="23"/>
      <c r="D859" s="23"/>
      <c r="E859" s="24" t="str">
        <f>IFERROR(__xludf.DUMMYFUNCTION("""COMPUTED_VALUE"""),"#N/A")</f>
        <v>#N/A</v>
      </c>
      <c r="F859" s="24" t="str">
        <f>IFERROR(__xludf.DUMMYFUNCTION("""COMPUTED_VALUE"""),"#N/A")</f>
        <v>#N/A</v>
      </c>
    </row>
    <row r="860">
      <c r="A860" s="23"/>
      <c r="B860" s="23"/>
      <c r="C860" s="23"/>
      <c r="D860" s="23"/>
      <c r="E860" s="24" t="str">
        <f>IFERROR(__xludf.DUMMYFUNCTION("""COMPUTED_VALUE"""),"#N/A")</f>
        <v>#N/A</v>
      </c>
      <c r="F860" s="24" t="str">
        <f>IFERROR(__xludf.DUMMYFUNCTION("""COMPUTED_VALUE"""),"#N/A")</f>
        <v>#N/A</v>
      </c>
    </row>
    <row r="861">
      <c r="A861" s="23"/>
      <c r="B861" s="23"/>
      <c r="C861" s="23"/>
      <c r="D861" s="23"/>
      <c r="E861" s="24" t="str">
        <f>IFERROR(__xludf.DUMMYFUNCTION("""COMPUTED_VALUE"""),"#N/A")</f>
        <v>#N/A</v>
      </c>
      <c r="F861" s="24" t="str">
        <f>IFERROR(__xludf.DUMMYFUNCTION("""COMPUTED_VALUE"""),"#N/A")</f>
        <v>#N/A</v>
      </c>
    </row>
    <row r="862">
      <c r="A862" s="23"/>
      <c r="B862" s="23"/>
      <c r="C862" s="23"/>
      <c r="D862" s="23"/>
      <c r="E862" s="24" t="str">
        <f>IFERROR(__xludf.DUMMYFUNCTION("""COMPUTED_VALUE"""),"#N/A")</f>
        <v>#N/A</v>
      </c>
      <c r="F862" s="24" t="str">
        <f>IFERROR(__xludf.DUMMYFUNCTION("""COMPUTED_VALUE"""),"#N/A")</f>
        <v>#N/A</v>
      </c>
    </row>
    <row r="863">
      <c r="A863" s="23"/>
      <c r="B863" s="23"/>
      <c r="C863" s="23"/>
      <c r="D863" s="23"/>
      <c r="E863" s="24" t="str">
        <f>IFERROR(__xludf.DUMMYFUNCTION("""COMPUTED_VALUE"""),"#N/A")</f>
        <v>#N/A</v>
      </c>
      <c r="F863" s="24" t="str">
        <f>IFERROR(__xludf.DUMMYFUNCTION("""COMPUTED_VALUE"""),"#N/A")</f>
        <v>#N/A</v>
      </c>
    </row>
    <row r="864">
      <c r="A864" s="23"/>
      <c r="B864" s="23"/>
      <c r="C864" s="23"/>
      <c r="D864" s="23"/>
      <c r="E864" s="24" t="str">
        <f>IFERROR(__xludf.DUMMYFUNCTION("""COMPUTED_VALUE"""),"#N/A")</f>
        <v>#N/A</v>
      </c>
      <c r="F864" s="24" t="str">
        <f>IFERROR(__xludf.DUMMYFUNCTION("""COMPUTED_VALUE"""),"#N/A")</f>
        <v>#N/A</v>
      </c>
    </row>
    <row r="865">
      <c r="A865" s="23"/>
      <c r="B865" s="23"/>
      <c r="C865" s="23"/>
      <c r="D865" s="23"/>
      <c r="E865" s="24" t="str">
        <f>IFERROR(__xludf.DUMMYFUNCTION("""COMPUTED_VALUE"""),"#N/A")</f>
        <v>#N/A</v>
      </c>
      <c r="F865" s="24" t="str">
        <f>IFERROR(__xludf.DUMMYFUNCTION("""COMPUTED_VALUE"""),"#N/A")</f>
        <v>#N/A</v>
      </c>
    </row>
    <row r="866">
      <c r="A866" s="23"/>
      <c r="B866" s="23"/>
      <c r="C866" s="23"/>
      <c r="D866" s="23"/>
      <c r="E866" s="24" t="str">
        <f>IFERROR(__xludf.DUMMYFUNCTION("""COMPUTED_VALUE"""),"#N/A")</f>
        <v>#N/A</v>
      </c>
      <c r="F866" s="24" t="str">
        <f>IFERROR(__xludf.DUMMYFUNCTION("""COMPUTED_VALUE"""),"#N/A")</f>
        <v>#N/A</v>
      </c>
    </row>
    <row r="867">
      <c r="A867" s="23"/>
      <c r="B867" s="23"/>
      <c r="C867" s="23"/>
      <c r="D867" s="23"/>
      <c r="E867" s="24" t="str">
        <f>IFERROR(__xludf.DUMMYFUNCTION("""COMPUTED_VALUE"""),"#N/A")</f>
        <v>#N/A</v>
      </c>
      <c r="F867" s="24" t="str">
        <f>IFERROR(__xludf.DUMMYFUNCTION("""COMPUTED_VALUE"""),"#N/A")</f>
        <v>#N/A</v>
      </c>
    </row>
    <row r="868">
      <c r="A868" s="23"/>
      <c r="B868" s="23"/>
      <c r="C868" s="23"/>
      <c r="D868" s="23"/>
      <c r="E868" s="24" t="str">
        <f>IFERROR(__xludf.DUMMYFUNCTION("""COMPUTED_VALUE"""),"#N/A")</f>
        <v>#N/A</v>
      </c>
      <c r="F868" s="24" t="str">
        <f>IFERROR(__xludf.DUMMYFUNCTION("""COMPUTED_VALUE"""),"#N/A")</f>
        <v>#N/A</v>
      </c>
    </row>
    <row r="869">
      <c r="A869" s="23"/>
      <c r="B869" s="23"/>
      <c r="C869" s="23"/>
      <c r="D869" s="23"/>
      <c r="E869" s="24" t="str">
        <f>IFERROR(__xludf.DUMMYFUNCTION("""COMPUTED_VALUE"""),"#N/A")</f>
        <v>#N/A</v>
      </c>
      <c r="F869" s="24" t="str">
        <f>IFERROR(__xludf.DUMMYFUNCTION("""COMPUTED_VALUE"""),"#N/A")</f>
        <v>#N/A</v>
      </c>
    </row>
    <row r="870">
      <c r="A870" s="23"/>
      <c r="B870" s="23"/>
      <c r="C870" s="23"/>
      <c r="D870" s="23"/>
      <c r="E870" s="24" t="str">
        <f>IFERROR(__xludf.DUMMYFUNCTION("""COMPUTED_VALUE"""),"#N/A")</f>
        <v>#N/A</v>
      </c>
      <c r="F870" s="24" t="str">
        <f>IFERROR(__xludf.DUMMYFUNCTION("""COMPUTED_VALUE"""),"#N/A")</f>
        <v>#N/A</v>
      </c>
    </row>
    <row r="871">
      <c r="A871" s="23"/>
      <c r="B871" s="23"/>
      <c r="C871" s="23"/>
      <c r="D871" s="23"/>
      <c r="E871" s="24" t="str">
        <f>IFERROR(__xludf.DUMMYFUNCTION("""COMPUTED_VALUE"""),"#N/A")</f>
        <v>#N/A</v>
      </c>
      <c r="F871" s="24" t="str">
        <f>IFERROR(__xludf.DUMMYFUNCTION("""COMPUTED_VALUE"""),"#N/A")</f>
        <v>#N/A</v>
      </c>
    </row>
    <row r="872">
      <c r="A872" s="23"/>
      <c r="B872" s="23"/>
      <c r="C872" s="23"/>
      <c r="D872" s="23"/>
      <c r="E872" s="24" t="str">
        <f>IFERROR(__xludf.DUMMYFUNCTION("""COMPUTED_VALUE"""),"#N/A")</f>
        <v>#N/A</v>
      </c>
      <c r="F872" s="24" t="str">
        <f>IFERROR(__xludf.DUMMYFUNCTION("""COMPUTED_VALUE"""),"#N/A")</f>
        <v>#N/A</v>
      </c>
    </row>
    <row r="873">
      <c r="A873" s="23"/>
      <c r="B873" s="23"/>
      <c r="C873" s="23"/>
      <c r="D873" s="23"/>
      <c r="E873" s="24" t="str">
        <f>IFERROR(__xludf.DUMMYFUNCTION("""COMPUTED_VALUE"""),"#N/A")</f>
        <v>#N/A</v>
      </c>
      <c r="F873" s="24" t="str">
        <f>IFERROR(__xludf.DUMMYFUNCTION("""COMPUTED_VALUE"""),"#N/A")</f>
        <v>#N/A</v>
      </c>
    </row>
    <row r="874">
      <c r="A874" s="23"/>
      <c r="B874" s="23"/>
      <c r="C874" s="23"/>
      <c r="D874" s="23"/>
      <c r="E874" s="24" t="str">
        <f>IFERROR(__xludf.DUMMYFUNCTION("""COMPUTED_VALUE"""),"#N/A")</f>
        <v>#N/A</v>
      </c>
      <c r="F874" s="24" t="str">
        <f>IFERROR(__xludf.DUMMYFUNCTION("""COMPUTED_VALUE"""),"#N/A")</f>
        <v>#N/A</v>
      </c>
    </row>
    <row r="875">
      <c r="A875" s="23"/>
      <c r="B875" s="23"/>
      <c r="C875" s="23"/>
      <c r="D875" s="23"/>
      <c r="E875" s="24" t="str">
        <f>IFERROR(__xludf.DUMMYFUNCTION("""COMPUTED_VALUE"""),"#N/A")</f>
        <v>#N/A</v>
      </c>
      <c r="F875" s="24" t="str">
        <f>IFERROR(__xludf.DUMMYFUNCTION("""COMPUTED_VALUE"""),"#N/A")</f>
        <v>#N/A</v>
      </c>
    </row>
    <row r="876">
      <c r="A876" s="23"/>
      <c r="B876" s="23"/>
      <c r="C876" s="23"/>
      <c r="D876" s="23"/>
      <c r="E876" s="24" t="str">
        <f>IFERROR(__xludf.DUMMYFUNCTION("""COMPUTED_VALUE"""),"#N/A")</f>
        <v>#N/A</v>
      </c>
      <c r="F876" s="24" t="str">
        <f>IFERROR(__xludf.DUMMYFUNCTION("""COMPUTED_VALUE"""),"#N/A")</f>
        <v>#N/A</v>
      </c>
    </row>
    <row r="877">
      <c r="A877" s="23"/>
      <c r="B877" s="23"/>
      <c r="C877" s="23"/>
      <c r="D877" s="23"/>
      <c r="E877" s="24" t="str">
        <f>IFERROR(__xludf.DUMMYFUNCTION("""COMPUTED_VALUE"""),"#N/A")</f>
        <v>#N/A</v>
      </c>
      <c r="F877" s="24" t="str">
        <f>IFERROR(__xludf.DUMMYFUNCTION("""COMPUTED_VALUE"""),"#N/A")</f>
        <v>#N/A</v>
      </c>
    </row>
    <row r="878">
      <c r="A878" s="23"/>
      <c r="B878" s="23"/>
      <c r="C878" s="23"/>
      <c r="D878" s="23"/>
      <c r="E878" s="24" t="str">
        <f>IFERROR(__xludf.DUMMYFUNCTION("""COMPUTED_VALUE"""),"#N/A")</f>
        <v>#N/A</v>
      </c>
      <c r="F878" s="24" t="str">
        <f>IFERROR(__xludf.DUMMYFUNCTION("""COMPUTED_VALUE"""),"#N/A")</f>
        <v>#N/A</v>
      </c>
    </row>
    <row r="879">
      <c r="A879" s="23"/>
      <c r="B879" s="23"/>
      <c r="C879" s="23"/>
      <c r="D879" s="23"/>
      <c r="E879" s="24" t="str">
        <f>IFERROR(__xludf.DUMMYFUNCTION("""COMPUTED_VALUE"""),"#N/A")</f>
        <v>#N/A</v>
      </c>
      <c r="F879" s="24" t="str">
        <f>IFERROR(__xludf.DUMMYFUNCTION("""COMPUTED_VALUE"""),"#N/A")</f>
        <v>#N/A</v>
      </c>
    </row>
    <row r="880">
      <c r="A880" s="23"/>
      <c r="B880" s="23"/>
      <c r="C880" s="23"/>
      <c r="D880" s="23"/>
      <c r="E880" s="24" t="str">
        <f>IFERROR(__xludf.DUMMYFUNCTION("""COMPUTED_VALUE"""),"#N/A")</f>
        <v>#N/A</v>
      </c>
      <c r="F880" s="24" t="str">
        <f>IFERROR(__xludf.DUMMYFUNCTION("""COMPUTED_VALUE"""),"#N/A")</f>
        <v>#N/A</v>
      </c>
    </row>
    <row r="881">
      <c r="A881" s="23"/>
      <c r="B881" s="23"/>
      <c r="C881" s="23"/>
      <c r="D881" s="23"/>
      <c r="E881" s="24" t="str">
        <f>IFERROR(__xludf.DUMMYFUNCTION("""COMPUTED_VALUE"""),"#N/A")</f>
        <v>#N/A</v>
      </c>
      <c r="F881" s="24" t="str">
        <f>IFERROR(__xludf.DUMMYFUNCTION("""COMPUTED_VALUE"""),"#N/A")</f>
        <v>#N/A</v>
      </c>
    </row>
    <row r="882">
      <c r="A882" s="23"/>
      <c r="B882" s="23"/>
      <c r="C882" s="23"/>
      <c r="D882" s="23"/>
      <c r="E882" s="24" t="str">
        <f>IFERROR(__xludf.DUMMYFUNCTION("""COMPUTED_VALUE"""),"#N/A")</f>
        <v>#N/A</v>
      </c>
      <c r="F882" s="24" t="str">
        <f>IFERROR(__xludf.DUMMYFUNCTION("""COMPUTED_VALUE"""),"#N/A")</f>
        <v>#N/A</v>
      </c>
    </row>
    <row r="883">
      <c r="A883" s="23"/>
      <c r="B883" s="23"/>
      <c r="C883" s="23"/>
      <c r="D883" s="23"/>
      <c r="E883" s="24" t="str">
        <f>IFERROR(__xludf.DUMMYFUNCTION("""COMPUTED_VALUE"""),"#N/A")</f>
        <v>#N/A</v>
      </c>
      <c r="F883" s="24" t="str">
        <f>IFERROR(__xludf.DUMMYFUNCTION("""COMPUTED_VALUE"""),"#N/A")</f>
        <v>#N/A</v>
      </c>
    </row>
    <row r="884">
      <c r="A884" s="23"/>
      <c r="B884" s="23"/>
      <c r="C884" s="23"/>
      <c r="D884" s="23"/>
      <c r="E884" s="24" t="str">
        <f>IFERROR(__xludf.DUMMYFUNCTION("""COMPUTED_VALUE"""),"#N/A")</f>
        <v>#N/A</v>
      </c>
      <c r="F884" s="24" t="str">
        <f>IFERROR(__xludf.DUMMYFUNCTION("""COMPUTED_VALUE"""),"#N/A")</f>
        <v>#N/A</v>
      </c>
    </row>
    <row r="885">
      <c r="A885" s="23"/>
      <c r="B885" s="23"/>
      <c r="C885" s="23"/>
      <c r="D885" s="23"/>
      <c r="E885" s="24" t="str">
        <f>IFERROR(__xludf.DUMMYFUNCTION("""COMPUTED_VALUE"""),"#N/A")</f>
        <v>#N/A</v>
      </c>
      <c r="F885" s="24" t="str">
        <f>IFERROR(__xludf.DUMMYFUNCTION("""COMPUTED_VALUE"""),"#N/A")</f>
        <v>#N/A</v>
      </c>
    </row>
    <row r="886">
      <c r="A886" s="23"/>
      <c r="B886" s="23"/>
      <c r="C886" s="23"/>
      <c r="D886" s="23"/>
      <c r="E886" s="24" t="str">
        <f>IFERROR(__xludf.DUMMYFUNCTION("""COMPUTED_VALUE"""),"#N/A")</f>
        <v>#N/A</v>
      </c>
      <c r="F886" s="24" t="str">
        <f>IFERROR(__xludf.DUMMYFUNCTION("""COMPUTED_VALUE"""),"#N/A")</f>
        <v>#N/A</v>
      </c>
    </row>
    <row r="887">
      <c r="A887" s="23"/>
      <c r="B887" s="23"/>
      <c r="C887" s="23"/>
      <c r="D887" s="23"/>
      <c r="E887" s="24" t="str">
        <f>IFERROR(__xludf.DUMMYFUNCTION("""COMPUTED_VALUE"""),"#N/A")</f>
        <v>#N/A</v>
      </c>
      <c r="F887" s="24" t="str">
        <f>IFERROR(__xludf.DUMMYFUNCTION("""COMPUTED_VALUE"""),"#N/A")</f>
        <v>#N/A</v>
      </c>
    </row>
    <row r="888">
      <c r="A888" s="23"/>
      <c r="B888" s="23"/>
      <c r="C888" s="23"/>
      <c r="D888" s="23"/>
      <c r="E888" s="24" t="str">
        <f>IFERROR(__xludf.DUMMYFUNCTION("""COMPUTED_VALUE"""),"#N/A")</f>
        <v>#N/A</v>
      </c>
      <c r="F888" s="24" t="str">
        <f>IFERROR(__xludf.DUMMYFUNCTION("""COMPUTED_VALUE"""),"#N/A")</f>
        <v>#N/A</v>
      </c>
    </row>
    <row r="889">
      <c r="A889" s="23"/>
      <c r="B889" s="23"/>
      <c r="C889" s="23"/>
      <c r="D889" s="23"/>
      <c r="E889" s="24" t="str">
        <f>IFERROR(__xludf.DUMMYFUNCTION("""COMPUTED_VALUE"""),"#N/A")</f>
        <v>#N/A</v>
      </c>
      <c r="F889" s="24" t="str">
        <f>IFERROR(__xludf.DUMMYFUNCTION("""COMPUTED_VALUE"""),"#N/A")</f>
        <v>#N/A</v>
      </c>
    </row>
    <row r="890">
      <c r="A890" s="23"/>
      <c r="B890" s="23"/>
      <c r="C890" s="23"/>
      <c r="D890" s="23"/>
      <c r="E890" s="24" t="str">
        <f>IFERROR(__xludf.DUMMYFUNCTION("""COMPUTED_VALUE"""),"#N/A")</f>
        <v>#N/A</v>
      </c>
      <c r="F890" s="24" t="str">
        <f>IFERROR(__xludf.DUMMYFUNCTION("""COMPUTED_VALUE"""),"#N/A")</f>
        <v>#N/A</v>
      </c>
    </row>
    <row r="891">
      <c r="A891" s="23"/>
      <c r="B891" s="23"/>
      <c r="C891" s="23"/>
      <c r="D891" s="23"/>
      <c r="E891" s="24" t="str">
        <f>IFERROR(__xludf.DUMMYFUNCTION("""COMPUTED_VALUE"""),"#N/A")</f>
        <v>#N/A</v>
      </c>
      <c r="F891" s="24" t="str">
        <f>IFERROR(__xludf.DUMMYFUNCTION("""COMPUTED_VALUE"""),"#N/A")</f>
        <v>#N/A</v>
      </c>
    </row>
    <row r="892">
      <c r="A892" s="23"/>
      <c r="B892" s="23"/>
      <c r="C892" s="23"/>
      <c r="D892" s="23"/>
      <c r="E892" s="24" t="str">
        <f>IFERROR(__xludf.DUMMYFUNCTION("""COMPUTED_VALUE"""),"#N/A")</f>
        <v>#N/A</v>
      </c>
      <c r="F892" s="24" t="str">
        <f>IFERROR(__xludf.DUMMYFUNCTION("""COMPUTED_VALUE"""),"#N/A")</f>
        <v>#N/A</v>
      </c>
    </row>
    <row r="893">
      <c r="A893" s="23"/>
      <c r="B893" s="23"/>
      <c r="C893" s="23"/>
      <c r="D893" s="23"/>
      <c r="E893" s="24" t="str">
        <f>IFERROR(__xludf.DUMMYFUNCTION("""COMPUTED_VALUE"""),"#N/A")</f>
        <v>#N/A</v>
      </c>
      <c r="F893" s="24" t="str">
        <f>IFERROR(__xludf.DUMMYFUNCTION("""COMPUTED_VALUE"""),"#N/A")</f>
        <v>#N/A</v>
      </c>
    </row>
    <row r="894">
      <c r="A894" s="23"/>
      <c r="B894" s="23"/>
      <c r="C894" s="23"/>
      <c r="D894" s="23"/>
      <c r="E894" s="24" t="str">
        <f>IFERROR(__xludf.DUMMYFUNCTION("""COMPUTED_VALUE"""),"#N/A")</f>
        <v>#N/A</v>
      </c>
      <c r="F894" s="24" t="str">
        <f>IFERROR(__xludf.DUMMYFUNCTION("""COMPUTED_VALUE"""),"#N/A")</f>
        <v>#N/A</v>
      </c>
    </row>
    <row r="895">
      <c r="A895" s="23"/>
      <c r="B895" s="23"/>
      <c r="C895" s="23"/>
      <c r="D895" s="23"/>
      <c r="E895" s="24" t="str">
        <f>IFERROR(__xludf.DUMMYFUNCTION("""COMPUTED_VALUE"""),"#N/A")</f>
        <v>#N/A</v>
      </c>
      <c r="F895" s="24" t="str">
        <f>IFERROR(__xludf.DUMMYFUNCTION("""COMPUTED_VALUE"""),"#N/A")</f>
        <v>#N/A</v>
      </c>
    </row>
    <row r="896">
      <c r="A896" s="23"/>
      <c r="B896" s="23"/>
      <c r="C896" s="23"/>
      <c r="D896" s="23"/>
      <c r="E896" s="24" t="str">
        <f>IFERROR(__xludf.DUMMYFUNCTION("""COMPUTED_VALUE"""),"#N/A")</f>
        <v>#N/A</v>
      </c>
      <c r="F896" s="24" t="str">
        <f>IFERROR(__xludf.DUMMYFUNCTION("""COMPUTED_VALUE"""),"#N/A")</f>
        <v>#N/A</v>
      </c>
    </row>
    <row r="897">
      <c r="A897" s="23"/>
      <c r="B897" s="23"/>
      <c r="C897" s="23"/>
      <c r="D897" s="23"/>
      <c r="E897" s="24" t="str">
        <f>IFERROR(__xludf.DUMMYFUNCTION("""COMPUTED_VALUE"""),"#N/A")</f>
        <v>#N/A</v>
      </c>
      <c r="F897" s="24" t="str">
        <f>IFERROR(__xludf.DUMMYFUNCTION("""COMPUTED_VALUE"""),"#N/A")</f>
        <v>#N/A</v>
      </c>
    </row>
    <row r="898">
      <c r="A898" s="23"/>
      <c r="B898" s="23"/>
      <c r="C898" s="23"/>
      <c r="D898" s="23"/>
      <c r="E898" s="24" t="str">
        <f>IFERROR(__xludf.DUMMYFUNCTION("""COMPUTED_VALUE"""),"#N/A")</f>
        <v>#N/A</v>
      </c>
      <c r="F898" s="24" t="str">
        <f>IFERROR(__xludf.DUMMYFUNCTION("""COMPUTED_VALUE"""),"#N/A")</f>
        <v>#N/A</v>
      </c>
    </row>
    <row r="899">
      <c r="A899" s="23"/>
      <c r="B899" s="23"/>
      <c r="C899" s="23"/>
      <c r="D899" s="23"/>
      <c r="E899" s="24" t="str">
        <f>IFERROR(__xludf.DUMMYFUNCTION("""COMPUTED_VALUE"""),"#N/A")</f>
        <v>#N/A</v>
      </c>
      <c r="F899" s="24" t="str">
        <f>IFERROR(__xludf.DUMMYFUNCTION("""COMPUTED_VALUE"""),"#N/A")</f>
        <v>#N/A</v>
      </c>
    </row>
    <row r="900">
      <c r="A900" s="23"/>
      <c r="B900" s="23"/>
      <c r="C900" s="23"/>
      <c r="D900" s="23"/>
      <c r="E900" s="24" t="str">
        <f>IFERROR(__xludf.DUMMYFUNCTION("""COMPUTED_VALUE"""),"#N/A")</f>
        <v>#N/A</v>
      </c>
      <c r="F900" s="24" t="str">
        <f>IFERROR(__xludf.DUMMYFUNCTION("""COMPUTED_VALUE"""),"#N/A")</f>
        <v>#N/A</v>
      </c>
    </row>
    <row r="901">
      <c r="A901" s="23"/>
      <c r="B901" s="23"/>
      <c r="C901" s="23"/>
      <c r="D901" s="23"/>
      <c r="E901" s="24" t="str">
        <f>IFERROR(__xludf.DUMMYFUNCTION("""COMPUTED_VALUE"""),"#N/A")</f>
        <v>#N/A</v>
      </c>
      <c r="F901" s="24" t="str">
        <f>IFERROR(__xludf.DUMMYFUNCTION("""COMPUTED_VALUE"""),"#N/A")</f>
        <v>#N/A</v>
      </c>
    </row>
    <row r="902">
      <c r="A902" s="23"/>
      <c r="B902" s="23"/>
      <c r="C902" s="23"/>
      <c r="D902" s="23"/>
      <c r="E902" s="24" t="str">
        <f>IFERROR(__xludf.DUMMYFUNCTION("""COMPUTED_VALUE"""),"#N/A")</f>
        <v>#N/A</v>
      </c>
      <c r="F902" s="24" t="str">
        <f>IFERROR(__xludf.DUMMYFUNCTION("""COMPUTED_VALUE"""),"#N/A")</f>
        <v>#N/A</v>
      </c>
    </row>
    <row r="903">
      <c r="A903" s="23"/>
      <c r="B903" s="23"/>
      <c r="C903" s="23"/>
      <c r="D903" s="23"/>
      <c r="E903" s="24" t="str">
        <f>IFERROR(__xludf.DUMMYFUNCTION("""COMPUTED_VALUE"""),"#N/A")</f>
        <v>#N/A</v>
      </c>
      <c r="F903" s="24" t="str">
        <f>IFERROR(__xludf.DUMMYFUNCTION("""COMPUTED_VALUE"""),"#N/A")</f>
        <v>#N/A</v>
      </c>
    </row>
    <row r="904">
      <c r="A904" s="23"/>
      <c r="B904" s="23"/>
      <c r="C904" s="23"/>
      <c r="D904" s="23"/>
      <c r="E904" s="24" t="str">
        <f>IFERROR(__xludf.DUMMYFUNCTION("""COMPUTED_VALUE"""),"#N/A")</f>
        <v>#N/A</v>
      </c>
      <c r="F904" s="24" t="str">
        <f>IFERROR(__xludf.DUMMYFUNCTION("""COMPUTED_VALUE"""),"#N/A")</f>
        <v>#N/A</v>
      </c>
    </row>
    <row r="905">
      <c r="A905" s="23"/>
      <c r="B905" s="23"/>
      <c r="C905" s="23"/>
      <c r="D905" s="23"/>
      <c r="E905" s="24" t="str">
        <f>IFERROR(__xludf.DUMMYFUNCTION("""COMPUTED_VALUE"""),"#N/A")</f>
        <v>#N/A</v>
      </c>
      <c r="F905" s="24" t="str">
        <f>IFERROR(__xludf.DUMMYFUNCTION("""COMPUTED_VALUE"""),"#N/A")</f>
        <v>#N/A</v>
      </c>
    </row>
    <row r="906">
      <c r="A906" s="23"/>
      <c r="B906" s="23"/>
      <c r="C906" s="23"/>
      <c r="D906" s="23"/>
      <c r="E906" s="24" t="str">
        <f>IFERROR(__xludf.DUMMYFUNCTION("""COMPUTED_VALUE"""),"#N/A")</f>
        <v>#N/A</v>
      </c>
      <c r="F906" s="24" t="str">
        <f>IFERROR(__xludf.DUMMYFUNCTION("""COMPUTED_VALUE"""),"#N/A")</f>
        <v>#N/A</v>
      </c>
    </row>
    <row r="907">
      <c r="A907" s="23"/>
      <c r="B907" s="23"/>
      <c r="C907" s="23"/>
      <c r="D907" s="23"/>
      <c r="E907" s="24" t="str">
        <f>IFERROR(__xludf.DUMMYFUNCTION("""COMPUTED_VALUE"""),"#N/A")</f>
        <v>#N/A</v>
      </c>
      <c r="F907" s="24" t="str">
        <f>IFERROR(__xludf.DUMMYFUNCTION("""COMPUTED_VALUE"""),"#N/A")</f>
        <v>#N/A</v>
      </c>
    </row>
    <row r="908">
      <c r="A908" s="23"/>
      <c r="B908" s="23"/>
      <c r="C908" s="23"/>
      <c r="D908" s="23"/>
      <c r="E908" s="24" t="str">
        <f>IFERROR(__xludf.DUMMYFUNCTION("""COMPUTED_VALUE"""),"#N/A")</f>
        <v>#N/A</v>
      </c>
      <c r="F908" s="24" t="str">
        <f>IFERROR(__xludf.DUMMYFUNCTION("""COMPUTED_VALUE"""),"#N/A")</f>
        <v>#N/A</v>
      </c>
    </row>
    <row r="909">
      <c r="A909" s="23"/>
      <c r="B909" s="23"/>
      <c r="C909" s="23"/>
      <c r="D909" s="23"/>
      <c r="E909" s="24" t="str">
        <f>IFERROR(__xludf.DUMMYFUNCTION("""COMPUTED_VALUE"""),"#N/A")</f>
        <v>#N/A</v>
      </c>
      <c r="F909" s="24" t="str">
        <f>IFERROR(__xludf.DUMMYFUNCTION("""COMPUTED_VALUE"""),"#N/A")</f>
        <v>#N/A</v>
      </c>
    </row>
    <row r="910">
      <c r="A910" s="23"/>
      <c r="B910" s="23"/>
      <c r="C910" s="23"/>
      <c r="D910" s="23"/>
      <c r="E910" s="24" t="str">
        <f>IFERROR(__xludf.DUMMYFUNCTION("""COMPUTED_VALUE"""),"#N/A")</f>
        <v>#N/A</v>
      </c>
      <c r="F910" s="24" t="str">
        <f>IFERROR(__xludf.DUMMYFUNCTION("""COMPUTED_VALUE"""),"#N/A")</f>
        <v>#N/A</v>
      </c>
    </row>
    <row r="911">
      <c r="A911" s="23"/>
      <c r="B911" s="23"/>
      <c r="C911" s="23"/>
      <c r="D911" s="23"/>
      <c r="E911" s="24" t="str">
        <f>IFERROR(__xludf.DUMMYFUNCTION("""COMPUTED_VALUE"""),"#N/A")</f>
        <v>#N/A</v>
      </c>
      <c r="F911" s="24" t="str">
        <f>IFERROR(__xludf.DUMMYFUNCTION("""COMPUTED_VALUE"""),"#N/A")</f>
        <v>#N/A</v>
      </c>
    </row>
    <row r="912">
      <c r="A912" s="23"/>
      <c r="B912" s="23"/>
      <c r="C912" s="23"/>
      <c r="D912" s="23"/>
      <c r="E912" s="24" t="str">
        <f>IFERROR(__xludf.DUMMYFUNCTION("""COMPUTED_VALUE"""),"#N/A")</f>
        <v>#N/A</v>
      </c>
      <c r="F912" s="24" t="str">
        <f>IFERROR(__xludf.DUMMYFUNCTION("""COMPUTED_VALUE"""),"#N/A")</f>
        <v>#N/A</v>
      </c>
    </row>
    <row r="913">
      <c r="A913" s="23"/>
      <c r="B913" s="23"/>
      <c r="C913" s="23"/>
      <c r="D913" s="23"/>
      <c r="E913" s="24" t="str">
        <f>IFERROR(__xludf.DUMMYFUNCTION("""COMPUTED_VALUE"""),"#N/A")</f>
        <v>#N/A</v>
      </c>
      <c r="F913" s="24" t="str">
        <f>IFERROR(__xludf.DUMMYFUNCTION("""COMPUTED_VALUE"""),"#N/A")</f>
        <v>#N/A</v>
      </c>
    </row>
    <row r="914">
      <c r="A914" s="23"/>
      <c r="B914" s="23"/>
      <c r="C914" s="23"/>
      <c r="D914" s="23"/>
      <c r="E914" s="24" t="str">
        <f>IFERROR(__xludf.DUMMYFUNCTION("""COMPUTED_VALUE"""),"#N/A")</f>
        <v>#N/A</v>
      </c>
      <c r="F914" s="24" t="str">
        <f>IFERROR(__xludf.DUMMYFUNCTION("""COMPUTED_VALUE"""),"#N/A")</f>
        <v>#N/A</v>
      </c>
    </row>
    <row r="915">
      <c r="A915" s="23"/>
      <c r="B915" s="23"/>
      <c r="C915" s="23"/>
      <c r="D915" s="23"/>
      <c r="E915" s="24" t="str">
        <f>IFERROR(__xludf.DUMMYFUNCTION("""COMPUTED_VALUE"""),"#N/A")</f>
        <v>#N/A</v>
      </c>
      <c r="F915" s="24" t="str">
        <f>IFERROR(__xludf.DUMMYFUNCTION("""COMPUTED_VALUE"""),"#N/A")</f>
        <v>#N/A</v>
      </c>
    </row>
    <row r="916">
      <c r="A916" s="23"/>
      <c r="B916" s="23"/>
      <c r="C916" s="23"/>
      <c r="D916" s="23"/>
      <c r="E916" s="24" t="str">
        <f>IFERROR(__xludf.DUMMYFUNCTION("""COMPUTED_VALUE"""),"#N/A")</f>
        <v>#N/A</v>
      </c>
      <c r="F916" s="24" t="str">
        <f>IFERROR(__xludf.DUMMYFUNCTION("""COMPUTED_VALUE"""),"#N/A")</f>
        <v>#N/A</v>
      </c>
    </row>
    <row r="917">
      <c r="A917" s="23"/>
      <c r="B917" s="23"/>
      <c r="C917" s="23"/>
      <c r="D917" s="23"/>
      <c r="E917" s="24" t="str">
        <f>IFERROR(__xludf.DUMMYFUNCTION("""COMPUTED_VALUE"""),"#N/A")</f>
        <v>#N/A</v>
      </c>
      <c r="F917" s="24" t="str">
        <f>IFERROR(__xludf.DUMMYFUNCTION("""COMPUTED_VALUE"""),"#N/A")</f>
        <v>#N/A</v>
      </c>
    </row>
    <row r="918">
      <c r="A918" s="23"/>
      <c r="B918" s="23"/>
      <c r="C918" s="23"/>
      <c r="D918" s="23"/>
      <c r="E918" s="24" t="str">
        <f>IFERROR(__xludf.DUMMYFUNCTION("""COMPUTED_VALUE"""),"#N/A")</f>
        <v>#N/A</v>
      </c>
      <c r="F918" s="24" t="str">
        <f>IFERROR(__xludf.DUMMYFUNCTION("""COMPUTED_VALUE"""),"#N/A")</f>
        <v>#N/A</v>
      </c>
    </row>
    <row r="919">
      <c r="A919" s="23"/>
      <c r="B919" s="23"/>
      <c r="C919" s="23"/>
      <c r="D919" s="23"/>
      <c r="E919" s="24" t="str">
        <f>IFERROR(__xludf.DUMMYFUNCTION("""COMPUTED_VALUE"""),"#N/A")</f>
        <v>#N/A</v>
      </c>
      <c r="F919" s="24" t="str">
        <f>IFERROR(__xludf.DUMMYFUNCTION("""COMPUTED_VALUE"""),"#N/A")</f>
        <v>#N/A</v>
      </c>
    </row>
    <row r="920">
      <c r="A920" s="23"/>
      <c r="B920" s="23"/>
      <c r="C920" s="23"/>
      <c r="D920" s="23"/>
      <c r="E920" s="24" t="str">
        <f>IFERROR(__xludf.DUMMYFUNCTION("""COMPUTED_VALUE"""),"#N/A")</f>
        <v>#N/A</v>
      </c>
      <c r="F920" s="24" t="str">
        <f>IFERROR(__xludf.DUMMYFUNCTION("""COMPUTED_VALUE"""),"#N/A")</f>
        <v>#N/A</v>
      </c>
    </row>
    <row r="921">
      <c r="A921" s="23"/>
      <c r="B921" s="23"/>
      <c r="C921" s="23"/>
      <c r="D921" s="23"/>
      <c r="E921" s="24" t="str">
        <f>IFERROR(__xludf.DUMMYFUNCTION("""COMPUTED_VALUE"""),"#N/A")</f>
        <v>#N/A</v>
      </c>
      <c r="F921" s="24" t="str">
        <f>IFERROR(__xludf.DUMMYFUNCTION("""COMPUTED_VALUE"""),"#N/A")</f>
        <v>#N/A</v>
      </c>
    </row>
    <row r="922">
      <c r="A922" s="23"/>
      <c r="B922" s="23"/>
      <c r="C922" s="23"/>
      <c r="D922" s="23"/>
      <c r="E922" s="24" t="str">
        <f>IFERROR(__xludf.DUMMYFUNCTION("""COMPUTED_VALUE"""),"#N/A")</f>
        <v>#N/A</v>
      </c>
      <c r="F922" s="24" t="str">
        <f>IFERROR(__xludf.DUMMYFUNCTION("""COMPUTED_VALUE"""),"#N/A")</f>
        <v>#N/A</v>
      </c>
    </row>
    <row r="923">
      <c r="A923" s="23"/>
      <c r="B923" s="23"/>
      <c r="C923" s="23"/>
      <c r="D923" s="23"/>
      <c r="E923" s="24" t="str">
        <f>IFERROR(__xludf.DUMMYFUNCTION("""COMPUTED_VALUE"""),"#N/A")</f>
        <v>#N/A</v>
      </c>
      <c r="F923" s="24" t="str">
        <f>IFERROR(__xludf.DUMMYFUNCTION("""COMPUTED_VALUE"""),"#N/A")</f>
        <v>#N/A</v>
      </c>
    </row>
    <row r="924">
      <c r="A924" s="23"/>
      <c r="B924" s="23"/>
      <c r="C924" s="23"/>
      <c r="D924" s="23"/>
      <c r="E924" s="24" t="str">
        <f>IFERROR(__xludf.DUMMYFUNCTION("""COMPUTED_VALUE"""),"#N/A")</f>
        <v>#N/A</v>
      </c>
      <c r="F924" s="24" t="str">
        <f>IFERROR(__xludf.DUMMYFUNCTION("""COMPUTED_VALUE"""),"#N/A")</f>
        <v>#N/A</v>
      </c>
    </row>
    <row r="925">
      <c r="A925" s="23"/>
      <c r="B925" s="23"/>
      <c r="C925" s="23"/>
      <c r="D925" s="23"/>
      <c r="E925" s="24" t="str">
        <f>IFERROR(__xludf.DUMMYFUNCTION("""COMPUTED_VALUE"""),"#N/A")</f>
        <v>#N/A</v>
      </c>
      <c r="F925" s="24" t="str">
        <f>IFERROR(__xludf.DUMMYFUNCTION("""COMPUTED_VALUE"""),"#N/A")</f>
        <v>#N/A</v>
      </c>
    </row>
    <row r="926">
      <c r="A926" s="23"/>
      <c r="B926" s="23"/>
      <c r="C926" s="23"/>
      <c r="D926" s="23"/>
      <c r="E926" s="24" t="str">
        <f>IFERROR(__xludf.DUMMYFUNCTION("""COMPUTED_VALUE"""),"#N/A")</f>
        <v>#N/A</v>
      </c>
      <c r="F926" s="24" t="str">
        <f>IFERROR(__xludf.DUMMYFUNCTION("""COMPUTED_VALUE"""),"#N/A")</f>
        <v>#N/A</v>
      </c>
    </row>
    <row r="927">
      <c r="A927" s="23"/>
      <c r="B927" s="23"/>
      <c r="C927" s="23"/>
      <c r="D927" s="23"/>
      <c r="E927" s="24" t="str">
        <f>IFERROR(__xludf.DUMMYFUNCTION("""COMPUTED_VALUE"""),"#N/A")</f>
        <v>#N/A</v>
      </c>
      <c r="F927" s="24" t="str">
        <f>IFERROR(__xludf.DUMMYFUNCTION("""COMPUTED_VALUE"""),"#N/A")</f>
        <v>#N/A</v>
      </c>
    </row>
    <row r="928">
      <c r="A928" s="23"/>
      <c r="B928" s="23"/>
      <c r="C928" s="23"/>
      <c r="D928" s="23"/>
      <c r="E928" s="24" t="str">
        <f>IFERROR(__xludf.DUMMYFUNCTION("""COMPUTED_VALUE"""),"#N/A")</f>
        <v>#N/A</v>
      </c>
      <c r="F928" s="24" t="str">
        <f>IFERROR(__xludf.DUMMYFUNCTION("""COMPUTED_VALUE"""),"#N/A")</f>
        <v>#N/A</v>
      </c>
    </row>
    <row r="929">
      <c r="A929" s="23"/>
      <c r="B929" s="23"/>
      <c r="C929" s="23"/>
      <c r="D929" s="23"/>
      <c r="E929" s="24" t="str">
        <f>IFERROR(__xludf.DUMMYFUNCTION("""COMPUTED_VALUE"""),"#N/A")</f>
        <v>#N/A</v>
      </c>
      <c r="F929" s="24" t="str">
        <f>IFERROR(__xludf.DUMMYFUNCTION("""COMPUTED_VALUE"""),"#N/A")</f>
        <v>#N/A</v>
      </c>
    </row>
    <row r="930">
      <c r="A930" s="23"/>
      <c r="B930" s="23"/>
      <c r="C930" s="23"/>
      <c r="D930" s="23"/>
      <c r="E930" s="24" t="str">
        <f>IFERROR(__xludf.DUMMYFUNCTION("""COMPUTED_VALUE"""),"#N/A")</f>
        <v>#N/A</v>
      </c>
      <c r="F930" s="24" t="str">
        <f>IFERROR(__xludf.DUMMYFUNCTION("""COMPUTED_VALUE"""),"#N/A")</f>
        <v>#N/A</v>
      </c>
    </row>
    <row r="931">
      <c r="A931" s="23"/>
      <c r="B931" s="23"/>
      <c r="C931" s="23"/>
      <c r="D931" s="23"/>
      <c r="E931" s="24" t="str">
        <f>IFERROR(__xludf.DUMMYFUNCTION("""COMPUTED_VALUE"""),"#N/A")</f>
        <v>#N/A</v>
      </c>
      <c r="F931" s="24" t="str">
        <f>IFERROR(__xludf.DUMMYFUNCTION("""COMPUTED_VALUE"""),"#N/A")</f>
        <v>#N/A</v>
      </c>
    </row>
    <row r="932">
      <c r="A932" s="23"/>
      <c r="B932" s="23"/>
      <c r="C932" s="23"/>
      <c r="D932" s="23"/>
      <c r="E932" s="24" t="str">
        <f>IFERROR(__xludf.DUMMYFUNCTION("""COMPUTED_VALUE"""),"#N/A")</f>
        <v>#N/A</v>
      </c>
      <c r="F932" s="24" t="str">
        <f>IFERROR(__xludf.DUMMYFUNCTION("""COMPUTED_VALUE"""),"#N/A")</f>
        <v>#N/A</v>
      </c>
    </row>
    <row r="933">
      <c r="A933" s="23"/>
      <c r="B933" s="23"/>
      <c r="C933" s="23"/>
      <c r="D933" s="23"/>
      <c r="E933" s="24" t="str">
        <f>IFERROR(__xludf.DUMMYFUNCTION("""COMPUTED_VALUE"""),"#N/A")</f>
        <v>#N/A</v>
      </c>
      <c r="F933" s="24" t="str">
        <f>IFERROR(__xludf.DUMMYFUNCTION("""COMPUTED_VALUE"""),"#N/A")</f>
        <v>#N/A</v>
      </c>
    </row>
    <row r="934">
      <c r="A934" s="23"/>
      <c r="B934" s="23"/>
      <c r="C934" s="23"/>
      <c r="D934" s="23"/>
      <c r="E934" s="24" t="str">
        <f>IFERROR(__xludf.DUMMYFUNCTION("""COMPUTED_VALUE"""),"#N/A")</f>
        <v>#N/A</v>
      </c>
      <c r="F934" s="24" t="str">
        <f>IFERROR(__xludf.DUMMYFUNCTION("""COMPUTED_VALUE"""),"#N/A")</f>
        <v>#N/A</v>
      </c>
    </row>
    <row r="935">
      <c r="A935" s="23"/>
      <c r="B935" s="23"/>
      <c r="C935" s="23"/>
      <c r="D935" s="23"/>
      <c r="E935" s="24" t="str">
        <f>IFERROR(__xludf.DUMMYFUNCTION("""COMPUTED_VALUE"""),"#N/A")</f>
        <v>#N/A</v>
      </c>
      <c r="F935" s="24" t="str">
        <f>IFERROR(__xludf.DUMMYFUNCTION("""COMPUTED_VALUE"""),"#N/A")</f>
        <v>#N/A</v>
      </c>
    </row>
    <row r="936">
      <c r="A936" s="23"/>
      <c r="B936" s="23"/>
      <c r="C936" s="23"/>
      <c r="D936" s="23"/>
      <c r="E936" s="24" t="str">
        <f>IFERROR(__xludf.DUMMYFUNCTION("""COMPUTED_VALUE"""),"#N/A")</f>
        <v>#N/A</v>
      </c>
      <c r="F936" s="24" t="str">
        <f>IFERROR(__xludf.DUMMYFUNCTION("""COMPUTED_VALUE"""),"#N/A")</f>
        <v>#N/A</v>
      </c>
    </row>
    <row r="937">
      <c r="A937" s="23"/>
      <c r="B937" s="23"/>
      <c r="C937" s="23"/>
      <c r="D937" s="23"/>
      <c r="E937" s="24" t="str">
        <f>IFERROR(__xludf.DUMMYFUNCTION("""COMPUTED_VALUE"""),"#N/A")</f>
        <v>#N/A</v>
      </c>
      <c r="F937" s="24" t="str">
        <f>IFERROR(__xludf.DUMMYFUNCTION("""COMPUTED_VALUE"""),"#N/A")</f>
        <v>#N/A</v>
      </c>
    </row>
    <row r="938">
      <c r="A938" s="23"/>
      <c r="B938" s="23"/>
      <c r="C938" s="23"/>
      <c r="D938" s="23"/>
      <c r="E938" s="24" t="str">
        <f>IFERROR(__xludf.DUMMYFUNCTION("""COMPUTED_VALUE"""),"#N/A")</f>
        <v>#N/A</v>
      </c>
      <c r="F938" s="24" t="str">
        <f>IFERROR(__xludf.DUMMYFUNCTION("""COMPUTED_VALUE"""),"#N/A")</f>
        <v>#N/A</v>
      </c>
    </row>
    <row r="939">
      <c r="A939" s="23"/>
      <c r="B939" s="23"/>
      <c r="C939" s="23"/>
      <c r="D939" s="23"/>
      <c r="E939" s="24" t="str">
        <f>IFERROR(__xludf.DUMMYFUNCTION("""COMPUTED_VALUE"""),"#N/A")</f>
        <v>#N/A</v>
      </c>
      <c r="F939" s="24" t="str">
        <f>IFERROR(__xludf.DUMMYFUNCTION("""COMPUTED_VALUE"""),"#N/A")</f>
        <v>#N/A</v>
      </c>
    </row>
    <row r="940">
      <c r="A940" s="23"/>
      <c r="B940" s="23"/>
      <c r="C940" s="23"/>
      <c r="D940" s="23"/>
      <c r="E940" s="24" t="str">
        <f>IFERROR(__xludf.DUMMYFUNCTION("""COMPUTED_VALUE"""),"#N/A")</f>
        <v>#N/A</v>
      </c>
      <c r="F940" s="24" t="str">
        <f>IFERROR(__xludf.DUMMYFUNCTION("""COMPUTED_VALUE"""),"#N/A")</f>
        <v>#N/A</v>
      </c>
    </row>
    <row r="941">
      <c r="A941" s="23"/>
      <c r="B941" s="23"/>
      <c r="C941" s="23"/>
      <c r="D941" s="23"/>
      <c r="E941" s="24" t="str">
        <f>IFERROR(__xludf.DUMMYFUNCTION("""COMPUTED_VALUE"""),"#N/A")</f>
        <v>#N/A</v>
      </c>
      <c r="F941" s="24" t="str">
        <f>IFERROR(__xludf.DUMMYFUNCTION("""COMPUTED_VALUE"""),"#N/A")</f>
        <v>#N/A</v>
      </c>
    </row>
    <row r="942">
      <c r="A942" s="23"/>
      <c r="B942" s="23"/>
      <c r="C942" s="23"/>
      <c r="D942" s="23"/>
      <c r="E942" s="24" t="str">
        <f>IFERROR(__xludf.DUMMYFUNCTION("""COMPUTED_VALUE"""),"#N/A")</f>
        <v>#N/A</v>
      </c>
      <c r="F942" s="24" t="str">
        <f>IFERROR(__xludf.DUMMYFUNCTION("""COMPUTED_VALUE"""),"#N/A")</f>
        <v>#N/A</v>
      </c>
    </row>
    <row r="943">
      <c r="A943" s="23"/>
      <c r="B943" s="23"/>
      <c r="C943" s="23"/>
      <c r="D943" s="23"/>
      <c r="E943" s="24" t="str">
        <f>IFERROR(__xludf.DUMMYFUNCTION("""COMPUTED_VALUE"""),"#N/A")</f>
        <v>#N/A</v>
      </c>
      <c r="F943" s="24" t="str">
        <f>IFERROR(__xludf.DUMMYFUNCTION("""COMPUTED_VALUE"""),"#N/A")</f>
        <v>#N/A</v>
      </c>
    </row>
    <row r="944">
      <c r="A944" s="23"/>
      <c r="B944" s="23"/>
      <c r="C944" s="23"/>
      <c r="D944" s="23"/>
      <c r="E944" s="24" t="str">
        <f>IFERROR(__xludf.DUMMYFUNCTION("""COMPUTED_VALUE"""),"#N/A")</f>
        <v>#N/A</v>
      </c>
      <c r="F944" s="24" t="str">
        <f>IFERROR(__xludf.DUMMYFUNCTION("""COMPUTED_VALUE"""),"#N/A")</f>
        <v>#N/A</v>
      </c>
    </row>
    <row r="945">
      <c r="A945" s="23"/>
      <c r="B945" s="23"/>
      <c r="C945" s="23"/>
      <c r="D945" s="23"/>
      <c r="E945" s="24" t="str">
        <f>IFERROR(__xludf.DUMMYFUNCTION("""COMPUTED_VALUE"""),"#N/A")</f>
        <v>#N/A</v>
      </c>
      <c r="F945" s="24" t="str">
        <f>IFERROR(__xludf.DUMMYFUNCTION("""COMPUTED_VALUE"""),"#N/A")</f>
        <v>#N/A</v>
      </c>
    </row>
    <row r="946">
      <c r="A946" s="23"/>
      <c r="B946" s="23"/>
      <c r="C946" s="23"/>
      <c r="D946" s="23"/>
      <c r="E946" s="24" t="str">
        <f>IFERROR(__xludf.DUMMYFUNCTION("""COMPUTED_VALUE"""),"#N/A")</f>
        <v>#N/A</v>
      </c>
      <c r="F946" s="24" t="str">
        <f>IFERROR(__xludf.DUMMYFUNCTION("""COMPUTED_VALUE"""),"#N/A")</f>
        <v>#N/A</v>
      </c>
    </row>
    <row r="947">
      <c r="A947" s="23"/>
      <c r="B947" s="23"/>
      <c r="C947" s="23"/>
      <c r="D947" s="23"/>
      <c r="E947" s="24" t="str">
        <f>IFERROR(__xludf.DUMMYFUNCTION("""COMPUTED_VALUE"""),"#N/A")</f>
        <v>#N/A</v>
      </c>
      <c r="F947" s="24" t="str">
        <f>IFERROR(__xludf.DUMMYFUNCTION("""COMPUTED_VALUE"""),"#N/A")</f>
        <v>#N/A</v>
      </c>
    </row>
    <row r="948">
      <c r="A948" s="23"/>
      <c r="B948" s="23"/>
      <c r="C948" s="23"/>
      <c r="D948" s="23"/>
      <c r="E948" s="24" t="str">
        <f>IFERROR(__xludf.DUMMYFUNCTION("""COMPUTED_VALUE"""),"#N/A")</f>
        <v>#N/A</v>
      </c>
      <c r="F948" s="24" t="str">
        <f>IFERROR(__xludf.DUMMYFUNCTION("""COMPUTED_VALUE"""),"#N/A")</f>
        <v>#N/A</v>
      </c>
    </row>
    <row r="949">
      <c r="A949" s="23"/>
      <c r="B949" s="23"/>
      <c r="C949" s="23"/>
      <c r="D949" s="23"/>
      <c r="E949" s="24" t="str">
        <f>IFERROR(__xludf.DUMMYFUNCTION("""COMPUTED_VALUE"""),"#N/A")</f>
        <v>#N/A</v>
      </c>
      <c r="F949" s="24" t="str">
        <f>IFERROR(__xludf.DUMMYFUNCTION("""COMPUTED_VALUE"""),"#N/A")</f>
        <v>#N/A</v>
      </c>
    </row>
    <row r="950">
      <c r="A950" s="23"/>
      <c r="B950" s="23"/>
      <c r="C950" s="23"/>
      <c r="D950" s="23"/>
      <c r="E950" s="24" t="str">
        <f>IFERROR(__xludf.DUMMYFUNCTION("""COMPUTED_VALUE"""),"#N/A")</f>
        <v>#N/A</v>
      </c>
      <c r="F950" s="24" t="str">
        <f>IFERROR(__xludf.DUMMYFUNCTION("""COMPUTED_VALUE"""),"#N/A")</f>
        <v>#N/A</v>
      </c>
    </row>
    <row r="951">
      <c r="A951" s="23"/>
      <c r="B951" s="23"/>
      <c r="C951" s="23"/>
      <c r="D951" s="23"/>
      <c r="E951" s="24" t="str">
        <f>IFERROR(__xludf.DUMMYFUNCTION("""COMPUTED_VALUE"""),"#N/A")</f>
        <v>#N/A</v>
      </c>
      <c r="F951" s="24" t="str">
        <f>IFERROR(__xludf.DUMMYFUNCTION("""COMPUTED_VALUE"""),"#N/A")</f>
        <v>#N/A</v>
      </c>
    </row>
    <row r="952">
      <c r="A952" s="23"/>
      <c r="B952" s="23"/>
      <c r="C952" s="23"/>
      <c r="D952" s="23"/>
      <c r="E952" s="24" t="str">
        <f>IFERROR(__xludf.DUMMYFUNCTION("""COMPUTED_VALUE"""),"#N/A")</f>
        <v>#N/A</v>
      </c>
      <c r="F952" s="24" t="str">
        <f>IFERROR(__xludf.DUMMYFUNCTION("""COMPUTED_VALUE"""),"#N/A")</f>
        <v>#N/A</v>
      </c>
    </row>
    <row r="953">
      <c r="A953" s="23"/>
      <c r="B953" s="23"/>
      <c r="C953" s="23"/>
      <c r="D953" s="23"/>
      <c r="E953" s="24" t="str">
        <f>IFERROR(__xludf.DUMMYFUNCTION("""COMPUTED_VALUE"""),"#N/A")</f>
        <v>#N/A</v>
      </c>
      <c r="F953" s="24" t="str">
        <f>IFERROR(__xludf.DUMMYFUNCTION("""COMPUTED_VALUE"""),"#N/A")</f>
        <v>#N/A</v>
      </c>
    </row>
    <row r="954">
      <c r="A954" s="23"/>
      <c r="B954" s="23"/>
      <c r="C954" s="23"/>
      <c r="D954" s="23"/>
      <c r="E954" s="24" t="str">
        <f>IFERROR(__xludf.DUMMYFUNCTION("""COMPUTED_VALUE"""),"#N/A")</f>
        <v>#N/A</v>
      </c>
      <c r="F954" s="24" t="str">
        <f>IFERROR(__xludf.DUMMYFUNCTION("""COMPUTED_VALUE"""),"#N/A")</f>
        <v>#N/A</v>
      </c>
    </row>
    <row r="955">
      <c r="A955" s="23"/>
      <c r="B955" s="23"/>
      <c r="C955" s="23"/>
      <c r="D955" s="23"/>
      <c r="E955" s="24" t="str">
        <f>IFERROR(__xludf.DUMMYFUNCTION("""COMPUTED_VALUE"""),"#N/A")</f>
        <v>#N/A</v>
      </c>
      <c r="F955" s="24" t="str">
        <f>IFERROR(__xludf.DUMMYFUNCTION("""COMPUTED_VALUE"""),"#N/A")</f>
        <v>#N/A</v>
      </c>
    </row>
    <row r="956">
      <c r="A956" s="23"/>
      <c r="B956" s="23"/>
      <c r="C956" s="23"/>
      <c r="D956" s="23"/>
      <c r="E956" s="24" t="str">
        <f>IFERROR(__xludf.DUMMYFUNCTION("""COMPUTED_VALUE"""),"#N/A")</f>
        <v>#N/A</v>
      </c>
      <c r="F956" s="24" t="str">
        <f>IFERROR(__xludf.DUMMYFUNCTION("""COMPUTED_VALUE"""),"#N/A")</f>
        <v>#N/A</v>
      </c>
    </row>
    <row r="957">
      <c r="A957" s="23"/>
      <c r="B957" s="23"/>
      <c r="C957" s="23"/>
      <c r="D957" s="23"/>
      <c r="E957" s="24" t="str">
        <f>IFERROR(__xludf.DUMMYFUNCTION("""COMPUTED_VALUE"""),"#N/A")</f>
        <v>#N/A</v>
      </c>
      <c r="F957" s="24" t="str">
        <f>IFERROR(__xludf.DUMMYFUNCTION("""COMPUTED_VALUE"""),"#N/A")</f>
        <v>#N/A</v>
      </c>
    </row>
    <row r="958">
      <c r="A958" s="23"/>
      <c r="B958" s="23"/>
      <c r="C958" s="23"/>
      <c r="D958" s="23"/>
      <c r="E958" s="24" t="str">
        <f>IFERROR(__xludf.DUMMYFUNCTION("""COMPUTED_VALUE"""),"#N/A")</f>
        <v>#N/A</v>
      </c>
      <c r="F958" s="24" t="str">
        <f>IFERROR(__xludf.DUMMYFUNCTION("""COMPUTED_VALUE"""),"#N/A")</f>
        <v>#N/A</v>
      </c>
    </row>
    <row r="959">
      <c r="A959" s="23"/>
      <c r="B959" s="23"/>
      <c r="C959" s="23"/>
      <c r="D959" s="23"/>
      <c r="E959" s="24" t="str">
        <f>IFERROR(__xludf.DUMMYFUNCTION("""COMPUTED_VALUE"""),"#N/A")</f>
        <v>#N/A</v>
      </c>
      <c r="F959" s="24" t="str">
        <f>IFERROR(__xludf.DUMMYFUNCTION("""COMPUTED_VALUE"""),"#N/A")</f>
        <v>#N/A</v>
      </c>
    </row>
    <row r="960">
      <c r="A960" s="23"/>
      <c r="B960" s="23"/>
      <c r="C960" s="23"/>
      <c r="D960" s="23"/>
      <c r="E960" s="24" t="str">
        <f>IFERROR(__xludf.DUMMYFUNCTION("""COMPUTED_VALUE"""),"#N/A")</f>
        <v>#N/A</v>
      </c>
      <c r="F960" s="24" t="str">
        <f>IFERROR(__xludf.DUMMYFUNCTION("""COMPUTED_VALUE"""),"#N/A")</f>
        <v>#N/A</v>
      </c>
    </row>
    <row r="961">
      <c r="A961" s="23"/>
      <c r="B961" s="23"/>
      <c r="C961" s="23"/>
      <c r="D961" s="23"/>
      <c r="E961" s="24" t="str">
        <f>IFERROR(__xludf.DUMMYFUNCTION("""COMPUTED_VALUE"""),"#N/A")</f>
        <v>#N/A</v>
      </c>
      <c r="F961" s="24" t="str">
        <f>IFERROR(__xludf.DUMMYFUNCTION("""COMPUTED_VALUE"""),"#N/A")</f>
        <v>#N/A</v>
      </c>
    </row>
    <row r="962">
      <c r="A962" s="23"/>
      <c r="B962" s="23"/>
      <c r="C962" s="23"/>
      <c r="D962" s="23"/>
      <c r="E962" s="24" t="str">
        <f>IFERROR(__xludf.DUMMYFUNCTION("""COMPUTED_VALUE"""),"#N/A")</f>
        <v>#N/A</v>
      </c>
      <c r="F962" s="24" t="str">
        <f>IFERROR(__xludf.DUMMYFUNCTION("""COMPUTED_VALUE"""),"#N/A")</f>
        <v>#N/A</v>
      </c>
    </row>
    <row r="963">
      <c r="A963" s="23"/>
      <c r="B963" s="23"/>
      <c r="C963" s="23"/>
      <c r="D963" s="23"/>
      <c r="E963" s="24" t="str">
        <f>IFERROR(__xludf.DUMMYFUNCTION("""COMPUTED_VALUE"""),"#N/A")</f>
        <v>#N/A</v>
      </c>
      <c r="F963" s="24" t="str">
        <f>IFERROR(__xludf.DUMMYFUNCTION("""COMPUTED_VALUE"""),"#N/A")</f>
        <v>#N/A</v>
      </c>
    </row>
    <row r="964">
      <c r="A964" s="23"/>
      <c r="B964" s="23"/>
      <c r="C964" s="23"/>
      <c r="D964" s="23"/>
      <c r="E964" s="24" t="str">
        <f>IFERROR(__xludf.DUMMYFUNCTION("""COMPUTED_VALUE"""),"#N/A")</f>
        <v>#N/A</v>
      </c>
      <c r="F964" s="24" t="str">
        <f>IFERROR(__xludf.DUMMYFUNCTION("""COMPUTED_VALUE"""),"#N/A")</f>
        <v>#N/A</v>
      </c>
    </row>
    <row r="965">
      <c r="A965" s="23"/>
      <c r="B965" s="23"/>
      <c r="C965" s="23"/>
      <c r="D965" s="23"/>
      <c r="E965" s="24" t="str">
        <f>IFERROR(__xludf.DUMMYFUNCTION("""COMPUTED_VALUE"""),"#N/A")</f>
        <v>#N/A</v>
      </c>
      <c r="F965" s="24" t="str">
        <f>IFERROR(__xludf.DUMMYFUNCTION("""COMPUTED_VALUE"""),"#N/A")</f>
        <v>#N/A</v>
      </c>
    </row>
    <row r="966">
      <c r="A966" s="23"/>
      <c r="B966" s="23"/>
      <c r="C966" s="23"/>
      <c r="D966" s="23"/>
      <c r="E966" s="24" t="str">
        <f>IFERROR(__xludf.DUMMYFUNCTION("""COMPUTED_VALUE"""),"#N/A")</f>
        <v>#N/A</v>
      </c>
      <c r="F966" s="24" t="str">
        <f>IFERROR(__xludf.DUMMYFUNCTION("""COMPUTED_VALUE"""),"#N/A")</f>
        <v>#N/A</v>
      </c>
    </row>
    <row r="967">
      <c r="A967" s="23"/>
      <c r="B967" s="23"/>
      <c r="C967" s="23"/>
      <c r="D967" s="23"/>
      <c r="E967" s="24" t="str">
        <f>IFERROR(__xludf.DUMMYFUNCTION("""COMPUTED_VALUE"""),"#N/A")</f>
        <v>#N/A</v>
      </c>
      <c r="F967" s="24" t="str">
        <f>IFERROR(__xludf.DUMMYFUNCTION("""COMPUTED_VALUE"""),"#N/A")</f>
        <v>#N/A</v>
      </c>
    </row>
    <row r="968">
      <c r="A968" s="23"/>
      <c r="B968" s="23"/>
      <c r="C968" s="23"/>
      <c r="D968" s="23"/>
      <c r="E968" s="24" t="str">
        <f>IFERROR(__xludf.DUMMYFUNCTION("""COMPUTED_VALUE"""),"#N/A")</f>
        <v>#N/A</v>
      </c>
      <c r="F968" s="24" t="str">
        <f>IFERROR(__xludf.DUMMYFUNCTION("""COMPUTED_VALUE"""),"#N/A")</f>
        <v>#N/A</v>
      </c>
    </row>
    <row r="969">
      <c r="A969" s="23"/>
      <c r="B969" s="23"/>
      <c r="C969" s="23"/>
      <c r="D969" s="23"/>
      <c r="E969" s="24" t="str">
        <f>IFERROR(__xludf.DUMMYFUNCTION("""COMPUTED_VALUE"""),"#N/A")</f>
        <v>#N/A</v>
      </c>
      <c r="F969" s="24" t="str">
        <f>IFERROR(__xludf.DUMMYFUNCTION("""COMPUTED_VALUE"""),"#N/A")</f>
        <v>#N/A</v>
      </c>
    </row>
    <row r="970">
      <c r="A970" s="23"/>
      <c r="B970" s="23"/>
      <c r="C970" s="23"/>
      <c r="D970" s="23"/>
      <c r="E970" s="24" t="str">
        <f>IFERROR(__xludf.DUMMYFUNCTION("""COMPUTED_VALUE"""),"#N/A")</f>
        <v>#N/A</v>
      </c>
      <c r="F970" s="24" t="str">
        <f>IFERROR(__xludf.DUMMYFUNCTION("""COMPUTED_VALUE"""),"#N/A")</f>
        <v>#N/A</v>
      </c>
    </row>
    <row r="971">
      <c r="A971" s="23"/>
      <c r="B971" s="23"/>
      <c r="C971" s="23"/>
      <c r="D971" s="23"/>
      <c r="E971" s="24" t="str">
        <f>IFERROR(__xludf.DUMMYFUNCTION("""COMPUTED_VALUE"""),"#N/A")</f>
        <v>#N/A</v>
      </c>
      <c r="F971" s="24" t="str">
        <f>IFERROR(__xludf.DUMMYFUNCTION("""COMPUTED_VALUE"""),"#N/A")</f>
        <v>#N/A</v>
      </c>
    </row>
    <row r="972">
      <c r="A972" s="23"/>
      <c r="B972" s="23"/>
      <c r="C972" s="23"/>
      <c r="D972" s="23"/>
      <c r="E972" s="24" t="str">
        <f>IFERROR(__xludf.DUMMYFUNCTION("""COMPUTED_VALUE"""),"#N/A")</f>
        <v>#N/A</v>
      </c>
      <c r="F972" s="24" t="str">
        <f>IFERROR(__xludf.DUMMYFUNCTION("""COMPUTED_VALUE"""),"#N/A")</f>
        <v>#N/A</v>
      </c>
    </row>
    <row r="973">
      <c r="A973" s="23"/>
      <c r="B973" s="23"/>
      <c r="C973" s="23"/>
      <c r="D973" s="23"/>
      <c r="E973" s="24" t="str">
        <f>IFERROR(__xludf.DUMMYFUNCTION("""COMPUTED_VALUE"""),"#N/A")</f>
        <v>#N/A</v>
      </c>
      <c r="F973" s="24" t="str">
        <f>IFERROR(__xludf.DUMMYFUNCTION("""COMPUTED_VALUE"""),"#N/A")</f>
        <v>#N/A</v>
      </c>
    </row>
    <row r="974">
      <c r="A974" s="23"/>
      <c r="B974" s="23"/>
      <c r="C974" s="23"/>
      <c r="D974" s="23"/>
      <c r="E974" s="24" t="str">
        <f>IFERROR(__xludf.DUMMYFUNCTION("""COMPUTED_VALUE"""),"#N/A")</f>
        <v>#N/A</v>
      </c>
      <c r="F974" s="24" t="str">
        <f>IFERROR(__xludf.DUMMYFUNCTION("""COMPUTED_VALUE"""),"#N/A")</f>
        <v>#N/A</v>
      </c>
    </row>
    <row r="975">
      <c r="A975" s="23"/>
      <c r="B975" s="23"/>
      <c r="C975" s="23"/>
      <c r="D975" s="23"/>
      <c r="E975" s="24" t="str">
        <f>IFERROR(__xludf.DUMMYFUNCTION("""COMPUTED_VALUE"""),"#N/A")</f>
        <v>#N/A</v>
      </c>
      <c r="F975" s="24" t="str">
        <f>IFERROR(__xludf.DUMMYFUNCTION("""COMPUTED_VALUE"""),"#N/A")</f>
        <v>#N/A</v>
      </c>
    </row>
    <row r="976">
      <c r="A976" s="23"/>
      <c r="B976" s="23"/>
      <c r="C976" s="23"/>
      <c r="D976" s="23"/>
      <c r="E976" s="24" t="str">
        <f>IFERROR(__xludf.DUMMYFUNCTION("""COMPUTED_VALUE"""),"#N/A")</f>
        <v>#N/A</v>
      </c>
      <c r="F976" s="24" t="str">
        <f>IFERROR(__xludf.DUMMYFUNCTION("""COMPUTED_VALUE"""),"#N/A")</f>
        <v>#N/A</v>
      </c>
    </row>
    <row r="977">
      <c r="A977" s="23"/>
      <c r="B977" s="23"/>
      <c r="C977" s="23"/>
      <c r="D977" s="23"/>
      <c r="E977" s="24" t="str">
        <f>IFERROR(__xludf.DUMMYFUNCTION("""COMPUTED_VALUE"""),"#N/A")</f>
        <v>#N/A</v>
      </c>
      <c r="F977" s="24" t="str">
        <f>IFERROR(__xludf.DUMMYFUNCTION("""COMPUTED_VALUE"""),"#N/A")</f>
        <v>#N/A</v>
      </c>
    </row>
    <row r="978">
      <c r="A978" s="23"/>
      <c r="B978" s="23"/>
      <c r="C978" s="23"/>
      <c r="D978" s="23"/>
      <c r="E978" s="24" t="str">
        <f>IFERROR(__xludf.DUMMYFUNCTION("""COMPUTED_VALUE"""),"#N/A")</f>
        <v>#N/A</v>
      </c>
      <c r="F978" s="24" t="str">
        <f>IFERROR(__xludf.DUMMYFUNCTION("""COMPUTED_VALUE"""),"#N/A")</f>
        <v>#N/A</v>
      </c>
    </row>
    <row r="979">
      <c r="A979" s="23"/>
      <c r="B979" s="23"/>
      <c r="C979" s="23"/>
      <c r="D979" s="23"/>
      <c r="E979" s="24" t="str">
        <f>IFERROR(__xludf.DUMMYFUNCTION("""COMPUTED_VALUE"""),"#N/A")</f>
        <v>#N/A</v>
      </c>
      <c r="F979" s="24" t="str">
        <f>IFERROR(__xludf.DUMMYFUNCTION("""COMPUTED_VALUE"""),"#N/A")</f>
        <v>#N/A</v>
      </c>
    </row>
    <row r="980">
      <c r="A980" s="23"/>
      <c r="B980" s="23"/>
      <c r="C980" s="23"/>
      <c r="D980" s="23"/>
      <c r="E980" s="24" t="str">
        <f>IFERROR(__xludf.DUMMYFUNCTION("""COMPUTED_VALUE"""),"#N/A")</f>
        <v>#N/A</v>
      </c>
      <c r="F980" s="24" t="str">
        <f>IFERROR(__xludf.DUMMYFUNCTION("""COMPUTED_VALUE"""),"#N/A")</f>
        <v>#N/A</v>
      </c>
    </row>
    <row r="981">
      <c r="A981" s="23"/>
      <c r="B981" s="23"/>
      <c r="C981" s="23"/>
      <c r="D981" s="23"/>
      <c r="E981" s="24" t="str">
        <f>IFERROR(__xludf.DUMMYFUNCTION("""COMPUTED_VALUE"""),"#N/A")</f>
        <v>#N/A</v>
      </c>
      <c r="F981" s="24" t="str">
        <f>IFERROR(__xludf.DUMMYFUNCTION("""COMPUTED_VALUE"""),"#N/A")</f>
        <v>#N/A</v>
      </c>
    </row>
    <row r="982">
      <c r="A982" s="23"/>
      <c r="B982" s="23"/>
      <c r="C982" s="23"/>
      <c r="D982" s="23"/>
      <c r="E982" s="24" t="str">
        <f>IFERROR(__xludf.DUMMYFUNCTION("""COMPUTED_VALUE"""),"#N/A")</f>
        <v>#N/A</v>
      </c>
      <c r="F982" s="24" t="str">
        <f>IFERROR(__xludf.DUMMYFUNCTION("""COMPUTED_VALUE"""),"#N/A")</f>
        <v>#N/A</v>
      </c>
    </row>
    <row r="983">
      <c r="A983" s="23"/>
      <c r="B983" s="23"/>
      <c r="C983" s="23"/>
      <c r="D983" s="23"/>
      <c r="E983" s="24" t="str">
        <f>IFERROR(__xludf.DUMMYFUNCTION("""COMPUTED_VALUE"""),"#N/A")</f>
        <v>#N/A</v>
      </c>
      <c r="F983" s="24" t="str">
        <f>IFERROR(__xludf.DUMMYFUNCTION("""COMPUTED_VALUE"""),"#N/A")</f>
        <v>#N/A</v>
      </c>
    </row>
    <row r="984">
      <c r="A984" s="23"/>
      <c r="B984" s="23"/>
      <c r="C984" s="23"/>
      <c r="D984" s="23"/>
      <c r="E984" s="24" t="str">
        <f>IFERROR(__xludf.DUMMYFUNCTION("""COMPUTED_VALUE"""),"#N/A")</f>
        <v>#N/A</v>
      </c>
      <c r="F984" s="24" t="str">
        <f>IFERROR(__xludf.DUMMYFUNCTION("""COMPUTED_VALUE"""),"#N/A")</f>
        <v>#N/A</v>
      </c>
    </row>
    <row r="985">
      <c r="A985" s="23"/>
      <c r="B985" s="23"/>
      <c r="C985" s="23"/>
      <c r="D985" s="23"/>
      <c r="E985" s="24" t="str">
        <f>IFERROR(__xludf.DUMMYFUNCTION("""COMPUTED_VALUE"""),"#N/A")</f>
        <v>#N/A</v>
      </c>
      <c r="F985" s="24" t="str">
        <f>IFERROR(__xludf.DUMMYFUNCTION("""COMPUTED_VALUE"""),"#N/A")</f>
        <v>#N/A</v>
      </c>
    </row>
    <row r="986">
      <c r="A986" s="23"/>
      <c r="B986" s="23"/>
      <c r="C986" s="23"/>
      <c r="D986" s="23"/>
      <c r="E986" s="24" t="str">
        <f>IFERROR(__xludf.DUMMYFUNCTION("""COMPUTED_VALUE"""),"#N/A")</f>
        <v>#N/A</v>
      </c>
      <c r="F986" s="24" t="str">
        <f>IFERROR(__xludf.DUMMYFUNCTION("""COMPUTED_VALUE"""),"#N/A")</f>
        <v>#N/A</v>
      </c>
    </row>
    <row r="987">
      <c r="A987" s="23"/>
      <c r="B987" s="23"/>
      <c r="C987" s="23"/>
      <c r="D987" s="23"/>
      <c r="E987" s="24" t="str">
        <f>IFERROR(__xludf.DUMMYFUNCTION("""COMPUTED_VALUE"""),"#N/A")</f>
        <v>#N/A</v>
      </c>
      <c r="F987" s="24" t="str">
        <f>IFERROR(__xludf.DUMMYFUNCTION("""COMPUTED_VALUE"""),"#N/A")</f>
        <v>#N/A</v>
      </c>
    </row>
    <row r="988">
      <c r="A988" s="23"/>
      <c r="B988" s="23"/>
      <c r="C988" s="23"/>
      <c r="D988" s="23"/>
      <c r="E988" s="24" t="str">
        <f>IFERROR(__xludf.DUMMYFUNCTION("""COMPUTED_VALUE"""),"#N/A")</f>
        <v>#N/A</v>
      </c>
      <c r="F988" s="24" t="str">
        <f>IFERROR(__xludf.DUMMYFUNCTION("""COMPUTED_VALUE"""),"#N/A")</f>
        <v>#N/A</v>
      </c>
    </row>
    <row r="989">
      <c r="A989" s="23"/>
      <c r="B989" s="23"/>
      <c r="C989" s="23"/>
      <c r="D989" s="23"/>
      <c r="E989" s="24" t="str">
        <f>IFERROR(__xludf.DUMMYFUNCTION("""COMPUTED_VALUE"""),"#N/A")</f>
        <v>#N/A</v>
      </c>
      <c r="F989" s="24" t="str">
        <f>IFERROR(__xludf.DUMMYFUNCTION("""COMPUTED_VALUE"""),"#N/A")</f>
        <v>#N/A</v>
      </c>
    </row>
    <row r="990">
      <c r="A990" s="23"/>
      <c r="B990" s="23"/>
      <c r="C990" s="23"/>
      <c r="D990" s="23"/>
      <c r="E990" s="24" t="str">
        <f>IFERROR(__xludf.DUMMYFUNCTION("""COMPUTED_VALUE"""),"#N/A")</f>
        <v>#N/A</v>
      </c>
      <c r="F990" s="24" t="str">
        <f>IFERROR(__xludf.DUMMYFUNCTION("""COMPUTED_VALUE"""),"#N/A")</f>
        <v>#N/A</v>
      </c>
    </row>
    <row r="991">
      <c r="A991" s="23"/>
      <c r="B991" s="23"/>
      <c r="C991" s="23"/>
      <c r="D991" s="23"/>
      <c r="E991" s="24" t="str">
        <f>IFERROR(__xludf.DUMMYFUNCTION("""COMPUTED_VALUE"""),"#N/A")</f>
        <v>#N/A</v>
      </c>
      <c r="F991" s="24" t="str">
        <f>IFERROR(__xludf.DUMMYFUNCTION("""COMPUTED_VALUE"""),"#N/A")</f>
        <v>#N/A</v>
      </c>
    </row>
    <row r="992">
      <c r="A992" s="25"/>
      <c r="B992" s="25"/>
      <c r="C992" s="25"/>
      <c r="D992" s="25"/>
      <c r="E992" s="26" t="str">
        <f>IFERROR(__xludf.DUMMYFUNCTION("""COMPUTED_VALUE"""),"#N/A")</f>
        <v>#N/A</v>
      </c>
      <c r="F992" s="26" t="str">
        <f>IFERROR(__xludf.DUMMYFUNCTION("""COMPUTED_VALUE"""),"#N/A")</f>
        <v>#N/A</v>
      </c>
    </row>
    <row r="993">
      <c r="A993" s="25"/>
      <c r="B993" s="25"/>
      <c r="C993" s="25"/>
      <c r="D993" s="25"/>
      <c r="E993" s="26" t="str">
        <f>IFERROR(__xludf.DUMMYFUNCTION("""COMPUTED_VALUE"""),"#N/A")</f>
        <v>#N/A</v>
      </c>
      <c r="F993" s="26" t="str">
        <f>IFERROR(__xludf.DUMMYFUNCTION("""COMPUTED_VALUE"""),"#N/A")</f>
        <v>#N/A</v>
      </c>
    </row>
    <row r="994">
      <c r="A994" s="25"/>
      <c r="B994" s="25"/>
      <c r="C994" s="25"/>
      <c r="D994" s="25"/>
      <c r="E994" s="26" t="str">
        <f>IFERROR(__xludf.DUMMYFUNCTION("""COMPUTED_VALUE"""),"#N/A")</f>
        <v>#N/A</v>
      </c>
      <c r="F994" s="26" t="str">
        <f>IFERROR(__xludf.DUMMYFUNCTION("""COMPUTED_VALUE"""),"#N/A")</f>
        <v>#N/A</v>
      </c>
    </row>
    <row r="995">
      <c r="A995" s="25"/>
      <c r="B995" s="25"/>
      <c r="C995" s="25"/>
      <c r="D995" s="25"/>
      <c r="E995" s="26" t="str">
        <f>IFERROR(__xludf.DUMMYFUNCTION("""COMPUTED_VALUE"""),"#N/A")</f>
        <v>#N/A</v>
      </c>
      <c r="F995" s="26" t="str">
        <f>IFERROR(__xludf.DUMMYFUNCTION("""COMPUTED_VALUE"""),"#N/A")</f>
        <v>#N/A</v>
      </c>
    </row>
    <row r="996">
      <c r="A996" s="25"/>
      <c r="B996" s="25"/>
      <c r="C996" s="25"/>
      <c r="D996" s="25"/>
      <c r="E996" s="26" t="str">
        <f>IFERROR(__xludf.DUMMYFUNCTION("""COMPUTED_VALUE"""),"#N/A")</f>
        <v>#N/A</v>
      </c>
      <c r="F996" s="26" t="str">
        <f>IFERROR(__xludf.DUMMYFUNCTION("""COMPUTED_VALUE"""),"#N/A")</f>
        <v>#N/A</v>
      </c>
    </row>
    <row r="997">
      <c r="A997" s="25"/>
      <c r="B997" s="25"/>
      <c r="C997" s="25"/>
      <c r="D997" s="25"/>
      <c r="E997" s="26" t="str">
        <f>IFERROR(__xludf.DUMMYFUNCTION("""COMPUTED_VALUE"""),"#N/A")</f>
        <v>#N/A</v>
      </c>
      <c r="F997" s="26" t="str">
        <f>IFERROR(__xludf.DUMMYFUNCTION("""COMPUTED_VALUE"""),"#N/A")</f>
        <v>#N/A</v>
      </c>
    </row>
    <row r="998">
      <c r="A998" s="25"/>
      <c r="B998" s="25"/>
      <c r="C998" s="25"/>
      <c r="D998" s="25"/>
      <c r="E998" s="26" t="str">
        <f>IFERROR(__xludf.DUMMYFUNCTION("""COMPUTED_VALUE"""),"#N/A")</f>
        <v>#N/A</v>
      </c>
      <c r="F998" s="26" t="str">
        <f>IFERROR(__xludf.DUMMYFUNCTION("""COMPUTED_VALUE"""),"#N/A")</f>
        <v>#N/A</v>
      </c>
    </row>
    <row r="999">
      <c r="A999" s="25"/>
      <c r="B999" s="25"/>
      <c r="C999" s="25"/>
      <c r="D999" s="25"/>
      <c r="E999" s="26" t="str">
        <f>IFERROR(__xludf.DUMMYFUNCTION("""COMPUTED_VALUE"""),"#N/A")</f>
        <v>#N/A</v>
      </c>
      <c r="F999" s="26" t="str">
        <f>IFERROR(__xludf.DUMMYFUNCTION("""COMPUTED_VALUE"""),"#N/A")</f>
        <v>#N/A</v>
      </c>
    </row>
    <row r="1000">
      <c r="A1000" s="25"/>
      <c r="B1000" s="25"/>
      <c r="C1000" s="25"/>
      <c r="D1000" s="25"/>
      <c r="E1000" s="26" t="str">
        <f>IFERROR(__xludf.DUMMYFUNCTION("""COMPUTED_VALUE"""),"#N/A")</f>
        <v>#N/A</v>
      </c>
      <c r="F1000" s="26" t="str">
        <f>IFERROR(__xludf.DUMMYFUNCTION("""COMPUTED_VALUE"""),"#N/A")</f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18" max="20" width="12.5"/>
  </cols>
  <sheetData>
    <row r="1">
      <c r="A1" s="27" t="s">
        <v>138</v>
      </c>
      <c r="B1" s="28" t="s">
        <v>139</v>
      </c>
      <c r="C1" s="29"/>
      <c r="D1" s="29"/>
      <c r="E1" s="29"/>
      <c r="F1" s="29"/>
      <c r="G1" s="29"/>
      <c r="H1" s="29"/>
      <c r="I1" s="11"/>
      <c r="J1" s="30" t="s">
        <v>140</v>
      </c>
      <c r="K1" s="29"/>
      <c r="L1" s="29"/>
      <c r="M1" s="29"/>
      <c r="N1" s="29"/>
      <c r="O1" s="29"/>
      <c r="P1" s="29"/>
      <c r="Q1" s="11"/>
      <c r="R1" s="31" t="s">
        <v>141</v>
      </c>
      <c r="S1" s="29"/>
      <c r="T1" s="11"/>
      <c r="U1" s="32"/>
      <c r="V1" s="32"/>
      <c r="W1" s="32"/>
      <c r="X1" s="32"/>
      <c r="Y1" s="32"/>
      <c r="Z1" s="32"/>
    </row>
    <row r="2">
      <c r="A2" s="33" t="s">
        <v>0</v>
      </c>
      <c r="B2" s="34" t="s">
        <v>142</v>
      </c>
      <c r="C2" s="34" t="s">
        <v>143</v>
      </c>
      <c r="D2" s="34" t="s">
        <v>144</v>
      </c>
      <c r="E2" s="34" t="s">
        <v>145</v>
      </c>
      <c r="F2" s="34" t="s">
        <v>146</v>
      </c>
      <c r="G2" s="34" t="s">
        <v>147</v>
      </c>
      <c r="H2" s="34" t="s">
        <v>148</v>
      </c>
      <c r="I2" s="35" t="s">
        <v>149</v>
      </c>
      <c r="J2" s="36" t="s">
        <v>150</v>
      </c>
      <c r="K2" s="36" t="s">
        <v>151</v>
      </c>
      <c r="L2" s="36" t="s">
        <v>144</v>
      </c>
      <c r="M2" s="36" t="s">
        <v>145</v>
      </c>
      <c r="N2" s="36" t="s">
        <v>146</v>
      </c>
      <c r="O2" s="36" t="s">
        <v>147</v>
      </c>
      <c r="P2" s="36" t="s">
        <v>148</v>
      </c>
      <c r="Q2" s="37" t="s">
        <v>149</v>
      </c>
      <c r="R2" s="38" t="s">
        <v>152</v>
      </c>
      <c r="S2" s="38" t="s">
        <v>153</v>
      </c>
      <c r="T2" s="39" t="s">
        <v>7</v>
      </c>
      <c r="U2" s="32"/>
      <c r="V2" s="32"/>
      <c r="W2" s="32"/>
      <c r="X2" s="32"/>
      <c r="Y2" s="32"/>
      <c r="Z2" s="32"/>
    </row>
    <row r="3">
      <c r="A3" s="40" t="s">
        <v>154</v>
      </c>
      <c r="B3" s="41">
        <v>0.3229166667</v>
      </c>
      <c r="C3" s="41">
        <v>0.2763157895</v>
      </c>
      <c r="D3" s="41">
        <v>0.224137931</v>
      </c>
      <c r="E3" s="41">
        <v>0.1963190184</v>
      </c>
      <c r="F3" s="41">
        <v>0.2419354839</v>
      </c>
      <c r="G3" s="41">
        <v>0.2437810945</v>
      </c>
      <c r="H3" s="41">
        <v>0.2265625</v>
      </c>
      <c r="I3" s="41">
        <v>0.2535344015</v>
      </c>
      <c r="J3" s="41">
        <v>0.2731958763</v>
      </c>
      <c r="K3" s="41">
        <v>0.2834224599</v>
      </c>
      <c r="L3" s="41">
        <v>0.224137931</v>
      </c>
      <c r="M3" s="41">
        <v>0.1963190184</v>
      </c>
      <c r="N3" s="41">
        <v>0.2419354839</v>
      </c>
      <c r="O3" s="41">
        <v>0.2437810945</v>
      </c>
      <c r="P3" s="41">
        <v>0.2265625</v>
      </c>
      <c r="Q3" s="41">
        <v>0.2789473684</v>
      </c>
      <c r="R3" s="42">
        <f t="shared" ref="R3:R14" si="1">K3-J3</f>
        <v>0.0102265836</v>
      </c>
      <c r="S3" s="43">
        <f t="shared" ref="S3:S14" si="2">K3-C3</f>
        <v>0.0071066704</v>
      </c>
      <c r="T3" s="43">
        <f t="shared" ref="T3:T14" si="3">Q3-I3</f>
        <v>0.0254129669</v>
      </c>
      <c r="U3" s="32"/>
      <c r="V3" s="32"/>
      <c r="W3" s="32"/>
      <c r="X3" s="32"/>
      <c r="Y3" s="32"/>
      <c r="Z3" s="32"/>
    </row>
    <row r="4">
      <c r="A4" s="40" t="s">
        <v>155</v>
      </c>
      <c r="B4" s="7">
        <v>0.3333333333</v>
      </c>
      <c r="C4" s="7">
        <v>0.375</v>
      </c>
      <c r="D4" s="41">
        <v>0.3962264151</v>
      </c>
      <c r="E4" s="41">
        <v>0.2931034483</v>
      </c>
      <c r="F4" s="41">
        <v>0.4347826087</v>
      </c>
      <c r="G4" s="41">
        <v>0.2777777778</v>
      </c>
      <c r="H4" s="7">
        <v>0.387755102</v>
      </c>
      <c r="I4" s="41">
        <v>0.3474025974</v>
      </c>
      <c r="J4" s="41">
        <v>0.4081632653</v>
      </c>
      <c r="K4" s="41">
        <v>0.3260869565</v>
      </c>
      <c r="L4" s="41">
        <v>0.3962264151</v>
      </c>
      <c r="M4" s="41">
        <v>0.2931034483</v>
      </c>
      <c r="N4" s="41">
        <v>0.4347826087</v>
      </c>
      <c r="O4" s="41">
        <v>0.2777777778</v>
      </c>
      <c r="P4" s="41">
        <v>0.387755102</v>
      </c>
      <c r="Q4" s="41">
        <v>0.3723404255</v>
      </c>
      <c r="R4" s="42">
        <f t="shared" si="1"/>
        <v>-0.0820763088</v>
      </c>
      <c r="S4" s="43">
        <f t="shared" si="2"/>
        <v>-0.0489130435</v>
      </c>
      <c r="T4" s="43">
        <f t="shared" si="3"/>
        <v>0.0249378281</v>
      </c>
      <c r="U4" s="32"/>
      <c r="V4" s="32"/>
      <c r="W4" s="32"/>
      <c r="X4" s="32"/>
      <c r="Y4" s="32"/>
      <c r="Z4" s="32"/>
    </row>
    <row r="5">
      <c r="A5" s="40" t="s">
        <v>156</v>
      </c>
      <c r="B5" s="41">
        <v>0.3523809524</v>
      </c>
      <c r="C5" s="41">
        <v>0.3260869565</v>
      </c>
      <c r="D5" s="41">
        <v>0.2727272727</v>
      </c>
      <c r="E5" s="41">
        <v>0.3781512605</v>
      </c>
      <c r="F5" s="41">
        <v>0.358974359</v>
      </c>
      <c r="G5" s="41">
        <v>0.3394495413</v>
      </c>
      <c r="H5" s="41">
        <v>0.3291139241</v>
      </c>
      <c r="I5" s="41">
        <v>0.3395061728</v>
      </c>
      <c r="J5" s="41">
        <v>0.2613636364</v>
      </c>
      <c r="K5" s="41">
        <v>0.3008849558</v>
      </c>
      <c r="L5" s="41">
        <v>0.2727272727</v>
      </c>
      <c r="M5" s="41">
        <v>0.3781512605</v>
      </c>
      <c r="N5" s="41">
        <v>0.358974359</v>
      </c>
      <c r="O5" s="41">
        <v>0.3394495413</v>
      </c>
      <c r="P5" s="41">
        <v>0.3291139241</v>
      </c>
      <c r="Q5" s="41">
        <v>0.2864321608</v>
      </c>
      <c r="R5" s="42">
        <f t="shared" si="1"/>
        <v>0.0395213194</v>
      </c>
      <c r="S5" s="43">
        <f t="shared" si="2"/>
        <v>-0.0252020007</v>
      </c>
      <c r="T5" s="43">
        <f t="shared" si="3"/>
        <v>-0.053074012</v>
      </c>
      <c r="U5" s="32"/>
      <c r="V5" s="32"/>
      <c r="W5" s="32"/>
      <c r="X5" s="32"/>
      <c r="Y5" s="32"/>
      <c r="Z5" s="32"/>
    </row>
    <row r="6">
      <c r="A6" s="40" t="s">
        <v>157</v>
      </c>
      <c r="B6" s="41">
        <v>0.2191780822</v>
      </c>
      <c r="C6" s="41">
        <v>0.1976744186</v>
      </c>
      <c r="D6" s="41">
        <v>0.1684210526</v>
      </c>
      <c r="E6" s="41">
        <v>0.1882352941</v>
      </c>
      <c r="F6" s="41">
        <v>0.1904761905</v>
      </c>
      <c r="G6" s="41">
        <v>0.1958762887</v>
      </c>
      <c r="H6" s="41">
        <v>0.2432432432</v>
      </c>
      <c r="I6" s="41">
        <v>0.1968503937</v>
      </c>
      <c r="J6" s="41">
        <v>0.1538461538</v>
      </c>
      <c r="K6" s="41">
        <v>0.2444444444</v>
      </c>
      <c r="L6" s="41">
        <v>0.1684210526</v>
      </c>
      <c r="M6" s="41">
        <v>0.1882352941</v>
      </c>
      <c r="N6" s="41">
        <v>0.1904761905</v>
      </c>
      <c r="O6" s="41">
        <v>0.1958762887</v>
      </c>
      <c r="P6" s="41">
        <v>0.2432432432</v>
      </c>
      <c r="Q6" s="41">
        <v>0.2060606061</v>
      </c>
      <c r="R6" s="42">
        <f t="shared" si="1"/>
        <v>0.0905982906</v>
      </c>
      <c r="S6" s="43">
        <f t="shared" si="2"/>
        <v>0.0467700258</v>
      </c>
      <c r="T6" s="43">
        <f t="shared" si="3"/>
        <v>0.0092102124</v>
      </c>
      <c r="U6" s="32"/>
      <c r="V6" s="32"/>
      <c r="W6" s="32"/>
      <c r="X6" s="32"/>
      <c r="Y6" s="32"/>
      <c r="Z6" s="32"/>
    </row>
    <row r="7">
      <c r="A7" s="40" t="s">
        <v>158</v>
      </c>
      <c r="B7" s="7">
        <v>0.4183673469</v>
      </c>
      <c r="C7" s="41">
        <v>0.375</v>
      </c>
      <c r="D7" s="41">
        <v>0.4056603774</v>
      </c>
      <c r="E7" s="41">
        <v>0.3679245283</v>
      </c>
      <c r="F7" s="7">
        <v>0.4</v>
      </c>
      <c r="G7" s="41">
        <v>0.3909090909</v>
      </c>
      <c r="H7" s="41">
        <v>0.3846153846</v>
      </c>
      <c r="I7" s="41">
        <v>0.3951219512</v>
      </c>
      <c r="J7" s="41">
        <v>0.4245283019</v>
      </c>
      <c r="K7" s="41">
        <v>0.3513513514</v>
      </c>
      <c r="L7" s="41">
        <v>0.4056603774</v>
      </c>
      <c r="M7" s="41">
        <v>0.3679245283</v>
      </c>
      <c r="N7" s="41">
        <v>0.4</v>
      </c>
      <c r="O7" s="41">
        <v>0.3909090909</v>
      </c>
      <c r="P7" s="41">
        <v>0.3846153846</v>
      </c>
      <c r="Q7" s="41">
        <v>0.3870967742</v>
      </c>
      <c r="R7" s="42">
        <f t="shared" si="1"/>
        <v>-0.0731769505</v>
      </c>
      <c r="S7" s="43">
        <f t="shared" si="2"/>
        <v>-0.0236486486</v>
      </c>
      <c r="T7" s="43">
        <f t="shared" si="3"/>
        <v>-0.008025177</v>
      </c>
      <c r="U7" s="32"/>
      <c r="V7" s="32"/>
      <c r="W7" s="32"/>
      <c r="X7" s="32"/>
      <c r="Y7" s="32"/>
      <c r="Z7" s="32"/>
    </row>
    <row r="8">
      <c r="A8" s="40" t="s">
        <v>159</v>
      </c>
      <c r="B8" s="41">
        <v>0.312</v>
      </c>
      <c r="C8" s="41">
        <v>0.2898550725</v>
      </c>
      <c r="D8" s="41">
        <v>0.2857142857</v>
      </c>
      <c r="E8" s="41">
        <v>0.3421052632</v>
      </c>
      <c r="F8" s="41">
        <v>0.3389830508</v>
      </c>
      <c r="G8" s="41">
        <v>0.2796610169</v>
      </c>
      <c r="H8" s="41">
        <v>0.3416666667</v>
      </c>
      <c r="I8" s="41">
        <v>0.3099173554</v>
      </c>
      <c r="J8" s="41">
        <v>0.2950819672</v>
      </c>
      <c r="K8" s="41">
        <v>0.3381294964</v>
      </c>
      <c r="L8" s="41">
        <v>0.2857142857</v>
      </c>
      <c r="M8" s="41">
        <v>0.3421052632</v>
      </c>
      <c r="N8" s="41">
        <v>0.3389830508</v>
      </c>
      <c r="O8" s="41">
        <v>0.2796610169</v>
      </c>
      <c r="P8" s="41">
        <v>0.3416666667</v>
      </c>
      <c r="Q8" s="41">
        <v>0.3180076628</v>
      </c>
      <c r="R8" s="42">
        <f t="shared" si="1"/>
        <v>0.0430475292</v>
      </c>
      <c r="S8" s="43">
        <f t="shared" si="2"/>
        <v>0.0482744239</v>
      </c>
      <c r="T8" s="43">
        <f t="shared" si="3"/>
        <v>0.0080903074</v>
      </c>
      <c r="U8" s="32"/>
      <c r="V8" s="32"/>
      <c r="W8" s="32"/>
      <c r="X8" s="32"/>
      <c r="Y8" s="32"/>
      <c r="Z8" s="32"/>
    </row>
    <row r="9">
      <c r="A9" s="40" t="s">
        <v>160</v>
      </c>
      <c r="B9" s="41">
        <v>0.3058823529</v>
      </c>
      <c r="C9" s="41">
        <v>0.3382352941</v>
      </c>
      <c r="D9" s="41">
        <v>0.4166666667</v>
      </c>
      <c r="E9" s="41">
        <v>0.375</v>
      </c>
      <c r="F9" s="41">
        <v>0.3783783784</v>
      </c>
      <c r="G9" s="41">
        <v>0.2195121951</v>
      </c>
      <c r="H9" s="41">
        <v>0.3</v>
      </c>
      <c r="I9" s="41">
        <v>0.3404710921</v>
      </c>
      <c r="J9" s="41">
        <v>0.3263157895</v>
      </c>
      <c r="K9" s="41">
        <v>0.1986754967</v>
      </c>
      <c r="L9" s="41">
        <v>0.4166666667</v>
      </c>
      <c r="M9" s="41">
        <v>0.375</v>
      </c>
      <c r="N9" s="41">
        <v>0.3783783784</v>
      </c>
      <c r="O9" s="41">
        <v>0.2195121951</v>
      </c>
      <c r="P9" s="41">
        <v>0.3</v>
      </c>
      <c r="Q9" s="41">
        <v>0.2489795918</v>
      </c>
      <c r="R9" s="42">
        <f t="shared" si="1"/>
        <v>-0.1276402928</v>
      </c>
      <c r="S9" s="43">
        <f t="shared" si="2"/>
        <v>-0.1395597974</v>
      </c>
      <c r="T9" s="43">
        <f t="shared" si="3"/>
        <v>-0.0914915003</v>
      </c>
      <c r="U9" s="32"/>
      <c r="V9" s="32"/>
      <c r="W9" s="32"/>
      <c r="X9" s="32"/>
      <c r="Y9" s="32"/>
      <c r="Z9" s="32"/>
    </row>
    <row r="10">
      <c r="A10" s="40" t="s">
        <v>161</v>
      </c>
      <c r="B10" s="41">
        <v>0.3932038835</v>
      </c>
      <c r="C10" s="41">
        <v>0.3302752294</v>
      </c>
      <c r="D10" s="41">
        <v>0.3266331658</v>
      </c>
      <c r="E10" s="41">
        <v>0.3004926108</v>
      </c>
      <c r="F10" s="41">
        <v>0.32</v>
      </c>
      <c r="G10" s="41">
        <v>0.2938388626</v>
      </c>
      <c r="H10" s="41">
        <v>0.3229813665</v>
      </c>
      <c r="I10" s="41">
        <v>0.3282988871</v>
      </c>
      <c r="J10" s="41">
        <v>0.419047619</v>
      </c>
      <c r="K10" s="41">
        <v>0.31</v>
      </c>
      <c r="L10" s="41">
        <v>0.3266331658</v>
      </c>
      <c r="M10" s="41">
        <v>0.3004926108</v>
      </c>
      <c r="N10" s="41">
        <v>0.32</v>
      </c>
      <c r="O10" s="41">
        <v>0.2938388626</v>
      </c>
      <c r="P10" s="41">
        <v>0.3229813665</v>
      </c>
      <c r="Q10" s="41">
        <v>0.3685503686</v>
      </c>
      <c r="R10" s="42">
        <f t="shared" si="1"/>
        <v>-0.109047619</v>
      </c>
      <c r="S10" s="43">
        <f t="shared" si="2"/>
        <v>-0.0202752294</v>
      </c>
      <c r="T10" s="43">
        <f t="shared" si="3"/>
        <v>0.0402514815</v>
      </c>
      <c r="U10" s="32"/>
      <c r="V10" s="32"/>
      <c r="W10" s="32"/>
      <c r="X10" s="32"/>
      <c r="Y10" s="32"/>
      <c r="Z10" s="32"/>
    </row>
    <row r="11">
      <c r="A11" s="40" t="s">
        <v>162</v>
      </c>
      <c r="B11" s="41">
        <v>0.22</v>
      </c>
      <c r="C11" s="41">
        <v>0.306122449</v>
      </c>
      <c r="D11" s="41">
        <v>0.2782608696</v>
      </c>
      <c r="E11" s="41">
        <v>0.2478632479</v>
      </c>
      <c r="F11" s="41">
        <v>0.2828282828</v>
      </c>
      <c r="G11" s="41">
        <v>0.1923076923</v>
      </c>
      <c r="H11" s="41">
        <v>0.2525252525</v>
      </c>
      <c r="I11" s="41">
        <v>0.2547770701</v>
      </c>
      <c r="J11" s="41">
        <v>0.2890625</v>
      </c>
      <c r="K11" s="41">
        <v>0.2385321101</v>
      </c>
      <c r="L11" s="41">
        <v>0.2782608696</v>
      </c>
      <c r="M11" s="41">
        <v>0.2478632479</v>
      </c>
      <c r="N11" s="41">
        <v>0.2828282828</v>
      </c>
      <c r="O11" s="41">
        <v>0.1923076923</v>
      </c>
      <c r="P11" s="41">
        <v>0.2525252525</v>
      </c>
      <c r="Q11" s="41">
        <v>0.2669491525</v>
      </c>
      <c r="R11" s="42">
        <f t="shared" si="1"/>
        <v>-0.0505303899</v>
      </c>
      <c r="S11" s="43">
        <f t="shared" si="2"/>
        <v>-0.0675903389</v>
      </c>
      <c r="T11" s="43">
        <f t="shared" si="3"/>
        <v>0.0121720824</v>
      </c>
      <c r="U11" s="32"/>
      <c r="V11" s="32"/>
      <c r="W11" s="32"/>
      <c r="X11" s="32"/>
      <c r="Y11" s="32"/>
      <c r="Z11" s="32"/>
    </row>
    <row r="12">
      <c r="A12" s="40" t="s">
        <v>163</v>
      </c>
      <c r="B12" s="41">
        <v>0.2953586498</v>
      </c>
      <c r="C12" s="41">
        <v>0.30651341</v>
      </c>
      <c r="D12" s="41">
        <v>0.3262711864</v>
      </c>
      <c r="E12" s="41">
        <v>0.3446601942</v>
      </c>
      <c r="F12" s="41">
        <v>0.3658536585</v>
      </c>
      <c r="G12" s="41">
        <v>0.264084507</v>
      </c>
      <c r="H12" s="41">
        <v>0.3076923077</v>
      </c>
      <c r="I12" s="41">
        <v>0.3155737705</v>
      </c>
      <c r="J12" s="41">
        <v>0.3719008264</v>
      </c>
      <c r="K12" s="41">
        <v>0.2482993197</v>
      </c>
      <c r="L12" s="41">
        <v>0.3262711864</v>
      </c>
      <c r="M12" s="41">
        <v>0.3446601942</v>
      </c>
      <c r="N12" s="41">
        <v>0.3658536585</v>
      </c>
      <c r="O12" s="41">
        <v>0.264084507</v>
      </c>
      <c r="P12" s="41">
        <v>0.3076923077</v>
      </c>
      <c r="Q12" s="41">
        <v>0.3041044776</v>
      </c>
      <c r="R12" s="42">
        <f t="shared" si="1"/>
        <v>-0.1236015067</v>
      </c>
      <c r="S12" s="43">
        <f t="shared" si="2"/>
        <v>-0.0582140903</v>
      </c>
      <c r="T12" s="43">
        <f t="shared" si="3"/>
        <v>-0.0114692929</v>
      </c>
      <c r="U12" s="32"/>
      <c r="V12" s="32"/>
      <c r="W12" s="32"/>
      <c r="X12" s="32"/>
      <c r="Y12" s="32"/>
      <c r="Z12" s="32"/>
    </row>
    <row r="13">
      <c r="A13" s="40" t="s">
        <v>164</v>
      </c>
      <c r="B13" s="41">
        <v>0.3595505618</v>
      </c>
      <c r="C13" s="41">
        <v>0.4166666667</v>
      </c>
      <c r="D13" s="41">
        <v>0.2222222222</v>
      </c>
      <c r="E13" s="41">
        <v>0.28125</v>
      </c>
      <c r="F13" s="41">
        <v>0.3369565217</v>
      </c>
      <c r="G13" s="41">
        <v>0.2427184466</v>
      </c>
      <c r="H13" s="41">
        <v>0.3698630137</v>
      </c>
      <c r="I13" s="41">
        <v>0.3059033989</v>
      </c>
      <c r="J13" s="41">
        <v>0.3157894737</v>
      </c>
      <c r="K13" s="41">
        <v>0.3258426966</v>
      </c>
      <c r="L13" s="41">
        <v>0.2222222222</v>
      </c>
      <c r="M13" s="41">
        <v>0.28125</v>
      </c>
      <c r="N13" s="41">
        <v>0.3369565217</v>
      </c>
      <c r="O13" s="41">
        <v>0.2427184466</v>
      </c>
      <c r="P13" s="41">
        <v>0.3698630137</v>
      </c>
      <c r="Q13" s="41">
        <v>0.3201970443</v>
      </c>
      <c r="R13" s="42">
        <f t="shared" si="1"/>
        <v>0.0100532229</v>
      </c>
      <c r="S13" s="43">
        <f t="shared" si="2"/>
        <v>-0.0908239701</v>
      </c>
      <c r="T13" s="43">
        <f t="shared" si="3"/>
        <v>0.0142936454</v>
      </c>
      <c r="U13" s="32"/>
      <c r="V13" s="32"/>
      <c r="W13" s="32"/>
      <c r="X13" s="32"/>
      <c r="Y13" s="32"/>
      <c r="Z13" s="32"/>
    </row>
    <row r="14">
      <c r="A14" s="44" t="s">
        <v>165</v>
      </c>
      <c r="B14" s="45">
        <v>0.3255</v>
      </c>
      <c r="C14" s="45">
        <v>0.3154</v>
      </c>
      <c r="D14" s="45">
        <v>0.2989</v>
      </c>
      <c r="E14" s="45">
        <v>0.3005</v>
      </c>
      <c r="F14" s="45">
        <v>0.3256</v>
      </c>
      <c r="G14" s="45">
        <v>0.2688</v>
      </c>
      <c r="H14" s="45">
        <v>0.3106</v>
      </c>
      <c r="I14" s="45">
        <v>0.3068</v>
      </c>
      <c r="J14" s="45">
        <v>0.3303</v>
      </c>
      <c r="K14" s="45">
        <v>0.2812</v>
      </c>
      <c r="L14" s="45">
        <v>0.2989</v>
      </c>
      <c r="M14" s="45">
        <v>0.3005</v>
      </c>
      <c r="N14" s="45">
        <v>0.3256</v>
      </c>
      <c r="O14" s="45">
        <v>0.2688</v>
      </c>
      <c r="P14" s="45">
        <v>0.3106</v>
      </c>
      <c r="Q14" s="45">
        <v>0.3062</v>
      </c>
      <c r="R14" s="42">
        <f t="shared" si="1"/>
        <v>-0.0491</v>
      </c>
      <c r="S14" s="43">
        <f t="shared" si="2"/>
        <v>-0.0342</v>
      </c>
      <c r="T14" s="43">
        <f t="shared" si="3"/>
        <v>-0.0006</v>
      </c>
      <c r="U14" s="32"/>
      <c r="V14" s="32"/>
      <c r="W14" s="32"/>
      <c r="X14" s="32"/>
      <c r="Y14" s="32"/>
      <c r="Z14" s="32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32"/>
      <c r="U15" s="32"/>
      <c r="V15" s="32"/>
      <c r="W15" s="32"/>
      <c r="X15" s="32"/>
      <c r="Y15" s="32"/>
      <c r="Z15" s="32"/>
    </row>
    <row r="16">
      <c r="A16" s="27" t="s">
        <v>166</v>
      </c>
      <c r="B16" s="28" t="s">
        <v>139</v>
      </c>
      <c r="C16" s="29"/>
      <c r="D16" s="29"/>
      <c r="E16" s="29"/>
      <c r="F16" s="29"/>
      <c r="G16" s="29"/>
      <c r="H16" s="29"/>
      <c r="I16" s="11"/>
      <c r="J16" s="30" t="s">
        <v>140</v>
      </c>
      <c r="K16" s="29"/>
      <c r="L16" s="29"/>
      <c r="M16" s="29"/>
      <c r="N16" s="29"/>
      <c r="O16" s="29"/>
      <c r="P16" s="29"/>
      <c r="Q16" s="11"/>
      <c r="R16" s="31" t="s">
        <v>141</v>
      </c>
      <c r="S16" s="29"/>
      <c r="T16" s="11"/>
      <c r="U16" s="32"/>
      <c r="V16" s="32"/>
      <c r="W16" s="32"/>
      <c r="X16" s="32"/>
      <c r="Y16" s="32"/>
      <c r="Z16" s="32"/>
    </row>
    <row r="17">
      <c r="A17" s="33" t="s">
        <v>0</v>
      </c>
      <c r="B17" s="34" t="s">
        <v>142</v>
      </c>
      <c r="C17" s="34" t="s">
        <v>143</v>
      </c>
      <c r="D17" s="34" t="s">
        <v>144</v>
      </c>
      <c r="E17" s="34" t="s">
        <v>145</v>
      </c>
      <c r="F17" s="34" t="s">
        <v>146</v>
      </c>
      <c r="G17" s="34" t="s">
        <v>147</v>
      </c>
      <c r="H17" s="34" t="s">
        <v>148</v>
      </c>
      <c r="I17" s="35" t="s">
        <v>149</v>
      </c>
      <c r="J17" s="36" t="s">
        <v>150</v>
      </c>
      <c r="K17" s="36" t="s">
        <v>151</v>
      </c>
      <c r="L17" s="36" t="s">
        <v>144</v>
      </c>
      <c r="M17" s="36" t="s">
        <v>145</v>
      </c>
      <c r="N17" s="36" t="s">
        <v>146</v>
      </c>
      <c r="O17" s="36" t="s">
        <v>147</v>
      </c>
      <c r="P17" s="36" t="s">
        <v>148</v>
      </c>
      <c r="Q17" s="37" t="s">
        <v>149</v>
      </c>
      <c r="R17" s="38" t="s">
        <v>152</v>
      </c>
      <c r="S17" s="38" t="s">
        <v>153</v>
      </c>
      <c r="T17" s="39" t="s">
        <v>7</v>
      </c>
      <c r="U17" s="32"/>
      <c r="V17" s="32"/>
      <c r="W17" s="32"/>
      <c r="X17" s="32"/>
      <c r="Y17" s="32"/>
      <c r="Z17" s="32"/>
    </row>
    <row r="18">
      <c r="A18" s="40" t="s">
        <v>154</v>
      </c>
      <c r="B18" s="47">
        <v>0.06895293688</v>
      </c>
      <c r="C18" s="47">
        <v>0.07650501672</v>
      </c>
      <c r="D18" s="47">
        <v>0.08034498411</v>
      </c>
      <c r="E18" s="47">
        <v>0.07894736842</v>
      </c>
      <c r="F18" s="47">
        <v>0.07906976744</v>
      </c>
      <c r="G18" s="47">
        <v>0.1006071119</v>
      </c>
      <c r="H18" s="47">
        <v>0.08280922432</v>
      </c>
      <c r="I18" s="47">
        <v>0.08006877072</v>
      </c>
      <c r="J18" s="47">
        <v>0.07405940594</v>
      </c>
      <c r="K18" s="47">
        <v>0.09267631103</v>
      </c>
      <c r="L18" s="47">
        <v>0.08034498411</v>
      </c>
      <c r="M18" s="47">
        <v>0.07894736842</v>
      </c>
      <c r="N18" s="47">
        <v>0.07906976744</v>
      </c>
      <c r="O18" s="47">
        <v>0.1006071119</v>
      </c>
      <c r="P18" s="47">
        <v>0.08280922432</v>
      </c>
      <c r="Q18" s="47">
        <v>0.08236536431</v>
      </c>
      <c r="R18" s="42">
        <f t="shared" ref="R18:R29" si="4">K18-J18</f>
        <v>0.01861690509</v>
      </c>
      <c r="S18" s="42">
        <f t="shared" ref="S18:S29" si="5">K18-C18</f>
        <v>0.01617129431</v>
      </c>
      <c r="T18" s="43">
        <f t="shared" ref="T18:T29" si="6">Q18-I18</f>
        <v>0.00229659359</v>
      </c>
      <c r="U18" s="32"/>
      <c r="V18" s="32"/>
      <c r="W18" s="32"/>
      <c r="X18" s="32"/>
      <c r="Y18" s="32"/>
      <c r="Z18" s="32"/>
    </row>
    <row r="19">
      <c r="A19" s="40" t="s">
        <v>155</v>
      </c>
      <c r="B19" s="47">
        <v>0.07046979866</v>
      </c>
      <c r="C19" s="47">
        <v>0.05128205128</v>
      </c>
      <c r="D19" s="47">
        <v>0.06214039125</v>
      </c>
      <c r="E19" s="47">
        <v>0.06775700935</v>
      </c>
      <c r="F19" s="47">
        <v>0.04504504505</v>
      </c>
      <c r="G19" s="47">
        <v>0.06658595642</v>
      </c>
      <c r="H19" s="47">
        <v>0.0584725537</v>
      </c>
      <c r="I19" s="47">
        <v>0.0600530856</v>
      </c>
      <c r="J19" s="47">
        <v>0.04776739356</v>
      </c>
      <c r="K19" s="47">
        <v>0.0625</v>
      </c>
      <c r="L19" s="47">
        <v>0.06214039125</v>
      </c>
      <c r="M19" s="47">
        <v>0.06775700935</v>
      </c>
      <c r="N19" s="47">
        <v>0.04504504505</v>
      </c>
      <c r="O19" s="47">
        <v>0.06658595642</v>
      </c>
      <c r="P19" s="47">
        <v>0.0584725537</v>
      </c>
      <c r="Q19" s="47">
        <v>0.05391600454</v>
      </c>
      <c r="R19" s="42">
        <f t="shared" si="4"/>
        <v>0.01473260644</v>
      </c>
      <c r="S19" s="42">
        <f t="shared" si="5"/>
        <v>0.01121794872</v>
      </c>
      <c r="T19" s="43">
        <f t="shared" si="6"/>
        <v>-0.00613708106</v>
      </c>
      <c r="U19" s="32"/>
      <c r="V19" s="32"/>
      <c r="W19" s="32"/>
      <c r="X19" s="32"/>
      <c r="Y19" s="32"/>
      <c r="Z19" s="32"/>
    </row>
    <row r="20">
      <c r="A20" s="40" t="s">
        <v>156</v>
      </c>
      <c r="B20" s="47">
        <v>0.06718851924</v>
      </c>
      <c r="C20" s="47">
        <v>0.075</v>
      </c>
      <c r="D20" s="47">
        <v>0.09002250563</v>
      </c>
      <c r="E20" s="47">
        <v>0.07265250171</v>
      </c>
      <c r="F20" s="47">
        <v>0.06951135582</v>
      </c>
      <c r="G20" s="47">
        <v>0.08074981975</v>
      </c>
      <c r="H20" s="47">
        <v>0.07052709725</v>
      </c>
      <c r="I20" s="47">
        <v>0.07467071935</v>
      </c>
      <c r="J20" s="47">
        <v>0.06366047745</v>
      </c>
      <c r="K20" s="47">
        <v>0.09425287356</v>
      </c>
      <c r="L20" s="47">
        <v>0.09002250563</v>
      </c>
      <c r="M20" s="47">
        <v>0.07265250171</v>
      </c>
      <c r="N20" s="47">
        <v>0.06951135582</v>
      </c>
      <c r="O20" s="47">
        <v>0.08074981975</v>
      </c>
      <c r="P20" s="47">
        <v>0.07052709725</v>
      </c>
      <c r="Q20" s="47">
        <v>0.0768683274</v>
      </c>
      <c r="R20" s="42">
        <f t="shared" si="4"/>
        <v>0.03059239611</v>
      </c>
      <c r="S20" s="42">
        <f t="shared" si="5"/>
        <v>0.01925287356</v>
      </c>
      <c r="T20" s="43">
        <f t="shared" si="6"/>
        <v>0.00219760805</v>
      </c>
      <c r="U20" s="32"/>
      <c r="V20" s="32"/>
      <c r="W20" s="32"/>
      <c r="X20" s="32"/>
      <c r="Y20" s="32"/>
      <c r="Z20" s="32"/>
    </row>
    <row r="21">
      <c r="A21" s="40" t="s">
        <v>157</v>
      </c>
      <c r="B21" s="47">
        <v>0.09761163032</v>
      </c>
      <c r="C21" s="47">
        <v>0.09269662921</v>
      </c>
      <c r="D21" s="47">
        <v>0.1215932914</v>
      </c>
      <c r="E21" s="47">
        <v>0.1108671789</v>
      </c>
      <c r="F21" s="47">
        <v>0.09519136408</v>
      </c>
      <c r="G21" s="47">
        <v>0.1137026239</v>
      </c>
      <c r="H21" s="47">
        <v>0.08403361345</v>
      </c>
      <c r="I21" s="47">
        <v>0.1004140787</v>
      </c>
      <c r="J21" s="47">
        <v>0.09990205681</v>
      </c>
      <c r="K21" s="47">
        <v>0.09634888438</v>
      </c>
      <c r="L21" s="47">
        <v>0.1215932914</v>
      </c>
      <c r="M21" s="47">
        <v>0.1108671789</v>
      </c>
      <c r="N21" s="47">
        <v>0.09519136408</v>
      </c>
      <c r="O21" s="47">
        <v>0.1137026239</v>
      </c>
      <c r="P21" s="47">
        <v>0.08403361345</v>
      </c>
      <c r="Q21" s="47">
        <v>0.09815645242</v>
      </c>
      <c r="R21" s="42">
        <f t="shared" si="4"/>
        <v>-0.00355317243</v>
      </c>
      <c r="S21" s="42">
        <f t="shared" si="5"/>
        <v>0.00365225517</v>
      </c>
      <c r="T21" s="43">
        <f t="shared" si="6"/>
        <v>-0.00225762628</v>
      </c>
      <c r="U21" s="32"/>
      <c r="V21" s="32"/>
      <c r="W21" s="32"/>
      <c r="X21" s="32"/>
      <c r="Y21" s="32"/>
      <c r="Z21" s="32"/>
    </row>
    <row r="22">
      <c r="A22" s="40" t="s">
        <v>158</v>
      </c>
      <c r="B22" s="47">
        <v>0.05986394558</v>
      </c>
      <c r="C22" s="47">
        <v>0.06879777623</v>
      </c>
      <c r="D22" s="47">
        <v>0.06444099379</v>
      </c>
      <c r="E22" s="47">
        <v>0.05953134896</v>
      </c>
      <c r="F22" s="47">
        <v>0.05388383485</v>
      </c>
      <c r="G22" s="47">
        <v>0.06997282609</v>
      </c>
      <c r="H22" s="47">
        <v>0.06181015453</v>
      </c>
      <c r="I22" s="47">
        <v>0.06201395813</v>
      </c>
      <c r="J22" s="47">
        <v>0.05322687957</v>
      </c>
      <c r="K22" s="47">
        <v>0.06197771588</v>
      </c>
      <c r="L22" s="47">
        <v>0.06444099379</v>
      </c>
      <c r="M22" s="47">
        <v>0.05953134896</v>
      </c>
      <c r="N22" s="47">
        <v>0.05388383485</v>
      </c>
      <c r="O22" s="47">
        <v>0.06997282609</v>
      </c>
      <c r="P22" s="47">
        <v>0.06181015453</v>
      </c>
      <c r="Q22" s="47">
        <v>0.05750255189</v>
      </c>
      <c r="R22" s="42">
        <f t="shared" si="4"/>
        <v>0.00875083631</v>
      </c>
      <c r="S22" s="42">
        <f t="shared" si="5"/>
        <v>-0.00682006035</v>
      </c>
      <c r="T22" s="43">
        <f t="shared" si="6"/>
        <v>-0.00451140624</v>
      </c>
      <c r="U22" s="32"/>
      <c r="V22" s="32"/>
      <c r="W22" s="32"/>
      <c r="X22" s="32"/>
      <c r="Y22" s="32"/>
      <c r="Z22" s="32"/>
    </row>
    <row r="23">
      <c r="A23" s="40" t="s">
        <v>159</v>
      </c>
      <c r="B23" s="47">
        <v>0.07433920705</v>
      </c>
      <c r="C23" s="47">
        <v>0.1060903733</v>
      </c>
      <c r="D23" s="47">
        <v>0.08654496281</v>
      </c>
      <c r="E23" s="47">
        <v>0.08036292936</v>
      </c>
      <c r="F23" s="47">
        <v>0.07678676905</v>
      </c>
      <c r="G23" s="47">
        <v>0.08667529107</v>
      </c>
      <c r="H23" s="47">
        <v>0.08893557423</v>
      </c>
      <c r="I23" s="47">
        <v>0.08462585034</v>
      </c>
      <c r="J23" s="47">
        <v>0.06178861789</v>
      </c>
      <c r="K23" s="47">
        <v>0.0894590846</v>
      </c>
      <c r="L23" s="47">
        <v>0.08654496281</v>
      </c>
      <c r="M23" s="47">
        <v>0.08036292936</v>
      </c>
      <c r="N23" s="47">
        <v>0.07678676905</v>
      </c>
      <c r="O23" s="47">
        <v>0.08667529107</v>
      </c>
      <c r="P23" s="47">
        <v>0.08893557423</v>
      </c>
      <c r="Q23" s="47">
        <v>0.07392759355</v>
      </c>
      <c r="R23" s="42">
        <f t="shared" si="4"/>
        <v>0.02767046671</v>
      </c>
      <c r="S23" s="42">
        <f t="shared" si="5"/>
        <v>-0.0166312887</v>
      </c>
      <c r="T23" s="43">
        <f t="shared" si="6"/>
        <v>-0.01069825679</v>
      </c>
      <c r="U23" s="32"/>
      <c r="V23" s="32"/>
      <c r="W23" s="32"/>
      <c r="X23" s="32"/>
      <c r="Y23" s="32"/>
      <c r="Z23" s="32"/>
    </row>
    <row r="24">
      <c r="A24" s="40" t="s">
        <v>160</v>
      </c>
      <c r="B24" s="47">
        <v>0.07202216066</v>
      </c>
      <c r="C24" s="47">
        <v>0.0788336933</v>
      </c>
      <c r="D24" s="47">
        <v>0.08458244111</v>
      </c>
      <c r="E24" s="47">
        <v>0.07259953162</v>
      </c>
      <c r="F24" s="47">
        <v>0.07420091324</v>
      </c>
      <c r="G24" s="47">
        <v>0.09251101322</v>
      </c>
      <c r="H24" s="47">
        <v>0.1189473684</v>
      </c>
      <c r="I24" s="47">
        <v>0.08454587226</v>
      </c>
      <c r="J24" s="47">
        <v>0.08491418248</v>
      </c>
      <c r="K24" s="47">
        <v>0.1788283659</v>
      </c>
      <c r="L24" s="47">
        <v>0.08458244111</v>
      </c>
      <c r="M24" s="47">
        <v>0.07259953162</v>
      </c>
      <c r="N24" s="47">
        <v>0.07420091324</v>
      </c>
      <c r="O24" s="47">
        <v>0.09251101322</v>
      </c>
      <c r="P24" s="47">
        <v>0.1189473684</v>
      </c>
      <c r="Q24" s="47">
        <v>0.1284271284</v>
      </c>
      <c r="R24" s="42">
        <f t="shared" si="4"/>
        <v>0.09391418342</v>
      </c>
      <c r="S24" s="42">
        <f t="shared" si="5"/>
        <v>0.0999946726</v>
      </c>
      <c r="T24" s="43">
        <f t="shared" si="6"/>
        <v>0.04388125614</v>
      </c>
      <c r="U24" s="32"/>
      <c r="V24" s="32"/>
      <c r="W24" s="32"/>
      <c r="X24" s="32"/>
      <c r="Y24" s="32"/>
      <c r="Z24" s="32"/>
    </row>
    <row r="25">
      <c r="A25" s="40" t="s">
        <v>161</v>
      </c>
      <c r="B25" s="47">
        <v>0.06301875192</v>
      </c>
      <c r="C25" s="47">
        <v>0.07391448459</v>
      </c>
      <c r="D25" s="47">
        <v>0.0687609075</v>
      </c>
      <c r="E25" s="47">
        <v>0.07784831273</v>
      </c>
      <c r="F25" s="47">
        <v>0.07531519575</v>
      </c>
      <c r="G25" s="47">
        <v>0.07800687285</v>
      </c>
      <c r="H25" s="47">
        <v>0.0602739726</v>
      </c>
      <c r="I25" s="47">
        <v>0.07038834951</v>
      </c>
      <c r="J25" s="47">
        <v>0.05775169858</v>
      </c>
      <c r="K25" s="47">
        <v>0.06400550585</v>
      </c>
      <c r="L25" s="47">
        <v>0.0687609075</v>
      </c>
      <c r="M25" s="47">
        <v>0.07784831273</v>
      </c>
      <c r="N25" s="47">
        <v>0.07531519575</v>
      </c>
      <c r="O25" s="47">
        <v>0.07800687285</v>
      </c>
      <c r="P25" s="47">
        <v>0.0602739726</v>
      </c>
      <c r="Q25" s="47">
        <v>0.05960912052</v>
      </c>
      <c r="R25" s="42">
        <f t="shared" si="4"/>
        <v>0.00625380727</v>
      </c>
      <c r="S25" s="42">
        <f t="shared" si="5"/>
        <v>-0.00990897874</v>
      </c>
      <c r="T25" s="43">
        <f t="shared" si="6"/>
        <v>-0.01077922899</v>
      </c>
      <c r="U25" s="32"/>
      <c r="V25" s="32"/>
      <c r="W25" s="32"/>
      <c r="X25" s="32"/>
      <c r="Y25" s="32"/>
      <c r="Z25" s="32"/>
    </row>
    <row r="26">
      <c r="A26" s="40" t="s">
        <v>162</v>
      </c>
      <c r="B26" s="47">
        <v>0.08686288586</v>
      </c>
      <c r="C26" s="47">
        <v>0.08996282528</v>
      </c>
      <c r="D26" s="47">
        <v>0.08393113343</v>
      </c>
      <c r="E26" s="47">
        <v>0.08988764045</v>
      </c>
      <c r="F26" s="47">
        <v>0.07902511078</v>
      </c>
      <c r="G26" s="47">
        <v>0.09199700823</v>
      </c>
      <c r="H26" s="47">
        <v>0.09666937449</v>
      </c>
      <c r="I26" s="47">
        <v>0.08503836317</v>
      </c>
      <c r="J26" s="47">
        <v>0.07277628032</v>
      </c>
      <c r="K26" s="47">
        <v>0.08715083799</v>
      </c>
      <c r="L26" s="47">
        <v>0.08393113343</v>
      </c>
      <c r="M26" s="47">
        <v>0.08988764045</v>
      </c>
      <c r="N26" s="47">
        <v>0.07902511078</v>
      </c>
      <c r="O26" s="47">
        <v>0.09199700823</v>
      </c>
      <c r="P26" s="47">
        <v>0.09666937449</v>
      </c>
      <c r="Q26" s="47">
        <v>0.07722969606</v>
      </c>
      <c r="R26" s="42">
        <f t="shared" si="4"/>
        <v>0.01437455767</v>
      </c>
      <c r="S26" s="42">
        <f t="shared" si="5"/>
        <v>-0.00281198729</v>
      </c>
      <c r="T26" s="43">
        <f t="shared" si="6"/>
        <v>-0.00780866711</v>
      </c>
      <c r="U26" s="32"/>
      <c r="V26" s="32"/>
      <c r="W26" s="32"/>
      <c r="X26" s="32"/>
      <c r="Y26" s="32"/>
      <c r="Z26" s="32"/>
    </row>
    <row r="27">
      <c r="A27" s="40" t="s">
        <v>163</v>
      </c>
      <c r="B27" s="47">
        <v>0.08552210122</v>
      </c>
      <c r="C27" s="47">
        <v>0.08621736491</v>
      </c>
      <c r="D27" s="47">
        <v>0.0843495935</v>
      </c>
      <c r="E27" s="47">
        <v>0.06637902423</v>
      </c>
      <c r="F27" s="47">
        <v>0.07277137659</v>
      </c>
      <c r="G27" s="47">
        <v>0.09553928096</v>
      </c>
      <c r="H27" s="47">
        <v>0.07536017732</v>
      </c>
      <c r="I27" s="47">
        <v>0.07853104414</v>
      </c>
      <c r="J27" s="47">
        <v>0.07148093842</v>
      </c>
      <c r="K27" s="47">
        <v>0.0985051744</v>
      </c>
      <c r="L27" s="47">
        <v>0.0843495935</v>
      </c>
      <c r="M27" s="47">
        <v>0.06637902423</v>
      </c>
      <c r="N27" s="47">
        <v>0.07277137659</v>
      </c>
      <c r="O27" s="47">
        <v>0.09553928096</v>
      </c>
      <c r="P27" s="47">
        <v>0.07536017732</v>
      </c>
      <c r="Q27" s="47">
        <v>0.08452023988</v>
      </c>
      <c r="R27" s="42">
        <f t="shared" si="4"/>
        <v>0.02702423598</v>
      </c>
      <c r="S27" s="42">
        <f t="shared" si="5"/>
        <v>0.01228780949</v>
      </c>
      <c r="T27" s="43">
        <f t="shared" si="6"/>
        <v>0.00598919574</v>
      </c>
      <c r="U27" s="32"/>
      <c r="V27" s="32"/>
      <c r="W27" s="32"/>
      <c r="X27" s="32"/>
      <c r="Y27" s="32"/>
      <c r="Z27" s="32"/>
    </row>
    <row r="28">
      <c r="A28" s="40" t="s">
        <v>164</v>
      </c>
      <c r="B28" s="47">
        <v>0.07073170732</v>
      </c>
      <c r="C28" s="47">
        <v>0.07012987013</v>
      </c>
      <c r="D28" s="47">
        <v>0.09506726457</v>
      </c>
      <c r="E28" s="47">
        <v>0.07992733878</v>
      </c>
      <c r="F28" s="47">
        <v>0.07425343019</v>
      </c>
      <c r="G28" s="47">
        <v>0.08586296618</v>
      </c>
      <c r="H28" s="47">
        <v>0.08494921514</v>
      </c>
      <c r="I28" s="47">
        <v>0.07941030723</v>
      </c>
      <c r="J28" s="47">
        <v>0.08346456693</v>
      </c>
      <c r="K28" s="47">
        <v>0.0862230553</v>
      </c>
      <c r="L28" s="47">
        <v>0.09506726457</v>
      </c>
      <c r="M28" s="47">
        <v>0.07992733878</v>
      </c>
      <c r="N28" s="47">
        <v>0.07425343019</v>
      </c>
      <c r="O28" s="47">
        <v>0.08586296618</v>
      </c>
      <c r="P28" s="47">
        <v>0.08494921514</v>
      </c>
      <c r="Q28" s="47">
        <v>0.08472400513</v>
      </c>
      <c r="R28" s="42">
        <f t="shared" si="4"/>
        <v>0.00275848837</v>
      </c>
      <c r="S28" s="42">
        <f t="shared" si="5"/>
        <v>0.01609318517</v>
      </c>
      <c r="T28" s="43">
        <f t="shared" si="6"/>
        <v>0.0053136979</v>
      </c>
      <c r="U28" s="32"/>
      <c r="V28" s="32"/>
      <c r="W28" s="32"/>
      <c r="X28" s="32"/>
      <c r="Y28" s="32"/>
      <c r="Z28" s="32"/>
    </row>
    <row r="29">
      <c r="A29" s="44" t="s">
        <v>165</v>
      </c>
      <c r="B29" s="48">
        <v>0.073</v>
      </c>
      <c r="C29" s="48">
        <v>0.08</v>
      </c>
      <c r="D29" s="48">
        <v>0.082</v>
      </c>
      <c r="E29" s="48">
        <v>0.076</v>
      </c>
      <c r="F29" s="48">
        <v>0.073</v>
      </c>
      <c r="G29" s="48">
        <v>0.088</v>
      </c>
      <c r="H29" s="48">
        <v>0.078</v>
      </c>
      <c r="I29" s="48">
        <v>0.078</v>
      </c>
      <c r="J29" s="48">
        <v>0.071</v>
      </c>
      <c r="K29" s="48">
        <v>0.09</v>
      </c>
      <c r="L29" s="48">
        <v>0.082</v>
      </c>
      <c r="M29" s="48">
        <v>0.076</v>
      </c>
      <c r="N29" s="48">
        <v>0.073</v>
      </c>
      <c r="O29" s="48">
        <v>0.088</v>
      </c>
      <c r="P29" s="48">
        <v>0.078</v>
      </c>
      <c r="Q29" s="48">
        <v>0.079</v>
      </c>
      <c r="R29" s="42">
        <f t="shared" si="4"/>
        <v>0.019</v>
      </c>
      <c r="S29" s="42">
        <f t="shared" si="5"/>
        <v>0.01</v>
      </c>
      <c r="T29" s="43">
        <f t="shared" si="6"/>
        <v>0.001</v>
      </c>
      <c r="U29" s="49"/>
      <c r="V29" s="49"/>
      <c r="W29" s="49"/>
      <c r="X29" s="49"/>
      <c r="Y29" s="49"/>
      <c r="Z29" s="49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B1:I1"/>
    <mergeCell ref="J1:Q1"/>
    <mergeCell ref="R1:T1"/>
    <mergeCell ref="B16:I16"/>
    <mergeCell ref="J16:Q16"/>
    <mergeCell ref="R16:T16"/>
  </mergeCells>
  <conditionalFormatting sqref="R3:T14">
    <cfRule type="cellIs" dxfId="7" priority="1" operator="lessThan">
      <formula>0</formula>
    </cfRule>
  </conditionalFormatting>
  <conditionalFormatting sqref="R3:T14">
    <cfRule type="cellIs" dxfId="5" priority="2" operator="greaterThan">
      <formula>0</formula>
    </cfRule>
  </conditionalFormatting>
  <conditionalFormatting sqref="R18:T29">
    <cfRule type="cellIs" dxfId="5" priority="3" operator="lessThan">
      <formula>0</formula>
    </cfRule>
  </conditionalFormatting>
  <conditionalFormatting sqref="R18:T29">
    <cfRule type="cellIs" dxfId="1" priority="4" operator="greaterThan">
      <formula>0</formula>
    </cfRule>
  </conditionalFormatting>
  <conditionalFormatting sqref="B18:Q29">
    <cfRule type="cellIs" dxfId="1" priority="5" operator="greaterThan">
      <formula>0.08</formula>
    </cfRule>
  </conditionalFormatting>
  <conditionalFormatting sqref="B18:Q29">
    <cfRule type="cellIs" dxfId="8" priority="6" operator="greaterThan">
      <formula>0.07</formula>
    </cfRule>
  </conditionalFormatting>
  <conditionalFormatting sqref="B18:Q29">
    <cfRule type="cellIs" dxfId="9" priority="7" operator="lessThan">
      <formula>0.07</formula>
    </cfRule>
  </conditionalFormatting>
  <drawing r:id="rId1"/>
</worksheet>
</file>